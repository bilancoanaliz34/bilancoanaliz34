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G:\Drive'ım\Diğer\Borsa Analiz\"/>
    </mc:Choice>
  </mc:AlternateContent>
  <xr:revisionPtr revIDLastSave="0" documentId="13_ncr:1_{019F9BF3-E8A0-4D83-8260-6B20E24ED6DC}" xr6:coauthVersionLast="47" xr6:coauthVersionMax="47" xr10:uidLastSave="{00000000-0000-0000-0000-000000000000}"/>
  <bookViews>
    <workbookView xWindow="-108" yWindow="-108" windowWidth="23256" windowHeight="12456" tabRatio="872" xr2:uid="{00000000-000D-0000-FFFF-FFFF00000000}"/>
  </bookViews>
  <sheets>
    <sheet name="İcmal" sheetId="39" r:id="rId1"/>
    <sheet name="AAPL" sheetId="1" state="hidden" r:id="rId2"/>
    <sheet name="ADD" sheetId="8" state="hidden" r:id="rId3"/>
    <sheet name="AMD" sheetId="36" r:id="rId4"/>
    <sheet name="AMTX" sheetId="18" state="hidden" r:id="rId5"/>
    <sheet name="AMZN" sheetId="5" state="hidden" r:id="rId6"/>
    <sheet name="ASAP" sheetId="12" state="hidden" r:id="rId7"/>
    <sheet name="BBIO" sheetId="23" r:id="rId8"/>
    <sheet name="BKCH" sheetId="22" r:id="rId9"/>
    <sheet name="CAH" sheetId="32" r:id="rId10"/>
    <sheet name="CLM" sheetId="3" state="hidden" r:id="rId11"/>
    <sheet name="COIN" sheetId="34" r:id="rId12"/>
    <sheet name="FANG" sheetId="11" state="hidden" r:id="rId13"/>
    <sheet name="FNGS" sheetId="31" r:id="rId14"/>
    <sheet name="FORD" sheetId="21" state="hidden" r:id="rId15"/>
    <sheet name="GDRX" sheetId="16" state="hidden" r:id="rId16"/>
    <sheet name="GE" sheetId="25" r:id="rId17"/>
    <sheet name="GNLN" sheetId="7" state="hidden" r:id="rId18"/>
    <sheet name="GOOGL" sheetId="10" r:id="rId19"/>
    <sheet name="JEPI" sheetId="27" r:id="rId20"/>
    <sheet name="HEPS" sheetId="15" r:id="rId21"/>
    <sheet name="KHC" sheetId="4" state="hidden" r:id="rId22"/>
    <sheet name="MDT" sheetId="20" state="hidden" r:id="rId23"/>
    <sheet name="NAMS" sheetId="13" state="hidden" r:id="rId24"/>
    <sheet name="NIO" sheetId="14" r:id="rId25"/>
    <sheet name="NKLA" sheetId="24" r:id="rId26"/>
    <sheet name="NVDA" sheetId="37" r:id="rId27"/>
    <sheet name="ORCL" sheetId="6" state="hidden" r:id="rId28"/>
    <sheet name="PTRCY" sheetId="9" state="hidden" r:id="rId29"/>
    <sheet name="SCDH" sheetId="29" r:id="rId30"/>
    <sheet name="SPYI" sheetId="26" r:id="rId31"/>
    <sheet name="SQ" sheetId="2" state="hidden" r:id="rId32"/>
    <sheet name="TSLA" sheetId="33" r:id="rId33"/>
    <sheet name="TUR" sheetId="35" r:id="rId34"/>
    <sheet name="UAL" sheetId="17" state="hidden" r:id="rId35"/>
    <sheet name="UPS" sheetId="19" r:id="rId36"/>
    <sheet name="VIG" sheetId="28" r:id="rId37"/>
    <sheet name="VUG" sheetId="30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2" l="1"/>
  <c r="G15" i="22"/>
  <c r="H15" i="22"/>
  <c r="F25" i="37"/>
  <c r="G25" i="37"/>
  <c r="H25" i="37"/>
  <c r="F22" i="34"/>
  <c r="G22" i="34"/>
  <c r="H22" i="34"/>
  <c r="K3" i="39"/>
  <c r="F23" i="37"/>
  <c r="G23" i="37"/>
  <c r="H23" i="37"/>
  <c r="F16" i="37"/>
  <c r="G16" i="37"/>
  <c r="H16" i="37"/>
  <c r="F17" i="37"/>
  <c r="G17" i="37"/>
  <c r="H17" i="37"/>
  <c r="F15" i="36" l="1"/>
  <c r="G15" i="36"/>
  <c r="H15" i="36"/>
  <c r="F13" i="34"/>
  <c r="G13" i="34"/>
  <c r="H13" i="34"/>
  <c r="F12" i="34"/>
  <c r="G12" i="34"/>
  <c r="H12" i="34"/>
  <c r="D1" i="30"/>
  <c r="Q1" i="30" s="1"/>
  <c r="R1" i="30" s="1"/>
  <c r="D1" i="28"/>
  <c r="Q1" i="28" s="1"/>
  <c r="R1" i="28" s="1"/>
  <c r="D1" i="19"/>
  <c r="Q1" i="19" s="1"/>
  <c r="R1" i="19" s="1"/>
  <c r="D1" i="35"/>
  <c r="Q1" i="35" s="1"/>
  <c r="D37" i="39"/>
  <c r="C37" i="39"/>
  <c r="F37" i="39" s="1"/>
  <c r="F36" i="39"/>
  <c r="D36" i="39"/>
  <c r="C36" i="39"/>
  <c r="D1" i="33"/>
  <c r="Q1" i="33" s="1"/>
  <c r="P1" i="33" s="1"/>
  <c r="G33" i="39"/>
  <c r="D33" i="39"/>
  <c r="C33" i="39"/>
  <c r="F33" i="39" s="1"/>
  <c r="D1" i="26"/>
  <c r="Q1" i="26" s="1"/>
  <c r="P1" i="26" s="1"/>
  <c r="D1" i="29"/>
  <c r="G30" i="39"/>
  <c r="D30" i="39"/>
  <c r="C30" i="39"/>
  <c r="G29" i="39"/>
  <c r="D29" i="39"/>
  <c r="C29" i="39"/>
  <c r="D1" i="37"/>
  <c r="Q1" i="37" s="1"/>
  <c r="R1" i="37" s="1"/>
  <c r="D1" i="24"/>
  <c r="Q1" i="24" s="1"/>
  <c r="P1" i="24" s="1"/>
  <c r="D27" i="39"/>
  <c r="C27" i="39"/>
  <c r="F27" i="39" s="1"/>
  <c r="D1" i="14"/>
  <c r="Q1" i="14" s="1"/>
  <c r="R1" i="14" s="1"/>
  <c r="G25" i="39"/>
  <c r="D25" i="39"/>
  <c r="C25" i="39"/>
  <c r="F25" i="39" s="1"/>
  <c r="G24" i="39"/>
  <c r="D24" i="39"/>
  <c r="C24" i="39"/>
  <c r="F24" i="39" s="1"/>
  <c r="D1" i="15"/>
  <c r="Q1" i="15" s="1"/>
  <c r="R1" i="15" s="1"/>
  <c r="G23" i="39"/>
  <c r="D23" i="39"/>
  <c r="C23" i="39"/>
  <c r="F23" i="39" s="1"/>
  <c r="D22" i="39"/>
  <c r="C22" i="39"/>
  <c r="F22" i="39" s="1"/>
  <c r="D1" i="27"/>
  <c r="Q1" i="27" s="1"/>
  <c r="R1" i="27" s="1"/>
  <c r="D1" i="10"/>
  <c r="Q1" i="10" s="1"/>
  <c r="P1" i="10" s="1"/>
  <c r="G19" i="39"/>
  <c r="D19" i="39"/>
  <c r="C19" i="39"/>
  <c r="F19" i="39" s="1"/>
  <c r="D1" i="25"/>
  <c r="Q1" i="25" s="1"/>
  <c r="R1" i="25" s="1"/>
  <c r="G17" i="39"/>
  <c r="D17" i="39"/>
  <c r="C17" i="39"/>
  <c r="F17" i="39" s="1"/>
  <c r="F30" i="39"/>
  <c r="F29" i="39"/>
  <c r="G16" i="39"/>
  <c r="C16" i="39"/>
  <c r="F16" i="39" s="1"/>
  <c r="D16" i="39"/>
  <c r="D1" i="31"/>
  <c r="Q1" i="31" s="1"/>
  <c r="R1" i="31" s="1"/>
  <c r="G14" i="39"/>
  <c r="D14" i="39"/>
  <c r="C14" i="39"/>
  <c r="F14" i="39" s="1"/>
  <c r="D1" i="34"/>
  <c r="G12" i="39"/>
  <c r="D12" i="39"/>
  <c r="C12" i="39"/>
  <c r="D1" i="32"/>
  <c r="Q1" i="32" s="1"/>
  <c r="R1" i="32" s="1"/>
  <c r="D1" i="22"/>
  <c r="Q1" i="22" s="1"/>
  <c r="R1" i="22" s="1"/>
  <c r="D1" i="23"/>
  <c r="Q1" i="23" s="1"/>
  <c r="R1" i="23" s="1"/>
  <c r="D1" i="12"/>
  <c r="Q1" i="12" s="1"/>
  <c r="P1" i="12" s="1"/>
  <c r="G7" i="39"/>
  <c r="D7" i="39"/>
  <c r="C7" i="39"/>
  <c r="F7" i="39" s="1"/>
  <c r="G6" i="39"/>
  <c r="D6" i="39"/>
  <c r="C6" i="39"/>
  <c r="F6" i="39" s="1"/>
  <c r="D1" i="36"/>
  <c r="Q1" i="36" s="1"/>
  <c r="R1" i="36" s="1"/>
  <c r="G4" i="39"/>
  <c r="D4" i="39"/>
  <c r="C4" i="39"/>
  <c r="F4" i="39" s="1"/>
  <c r="G3" i="39"/>
  <c r="D3" i="39"/>
  <c r="C3" i="39"/>
  <c r="F3" i="39" s="1"/>
  <c r="F12" i="39"/>
  <c r="G11" i="34"/>
  <c r="F11" i="34"/>
  <c r="H11" i="34"/>
  <c r="F6" i="32"/>
  <c r="G6" i="32"/>
  <c r="H6" i="32"/>
  <c r="C15" i="34"/>
  <c r="F15" i="34" s="1"/>
  <c r="F15" i="37"/>
  <c r="F9" i="34"/>
  <c r="G9" i="34"/>
  <c r="H9" i="34"/>
  <c r="F11" i="36"/>
  <c r="G11" i="36"/>
  <c r="H11" i="36"/>
  <c r="F10" i="36"/>
  <c r="G10" i="36"/>
  <c r="H10" i="36"/>
  <c r="F12" i="37"/>
  <c r="G12" i="37"/>
  <c r="H12" i="37"/>
  <c r="F5" i="37"/>
  <c r="G5" i="37"/>
  <c r="H5" i="37"/>
  <c r="H33" i="37"/>
  <c r="G33" i="37"/>
  <c r="F33" i="37"/>
  <c r="H32" i="37"/>
  <c r="G32" i="37"/>
  <c r="F32" i="37"/>
  <c r="H31" i="37"/>
  <c r="G31" i="37"/>
  <c r="F31" i="37"/>
  <c r="H30" i="37"/>
  <c r="G30" i="37"/>
  <c r="F30" i="37"/>
  <c r="H29" i="37"/>
  <c r="G29" i="37"/>
  <c r="F29" i="37"/>
  <c r="H28" i="37"/>
  <c r="G28" i="37"/>
  <c r="F28" i="37"/>
  <c r="H27" i="37"/>
  <c r="G27" i="37"/>
  <c r="F27" i="37"/>
  <c r="H26" i="37"/>
  <c r="G26" i="37"/>
  <c r="F26" i="37"/>
  <c r="H24" i="37"/>
  <c r="G24" i="37"/>
  <c r="F24" i="37"/>
  <c r="H22" i="37"/>
  <c r="G22" i="37"/>
  <c r="F22" i="37"/>
  <c r="H21" i="37"/>
  <c r="G21" i="37"/>
  <c r="F21" i="37"/>
  <c r="H20" i="37"/>
  <c r="G20" i="37"/>
  <c r="F20" i="37"/>
  <c r="H19" i="37"/>
  <c r="G19" i="37"/>
  <c r="F19" i="37"/>
  <c r="H18" i="37"/>
  <c r="G18" i="37"/>
  <c r="F18" i="37"/>
  <c r="H15" i="37"/>
  <c r="G15" i="37"/>
  <c r="H14" i="37"/>
  <c r="G14" i="37"/>
  <c r="F14" i="37"/>
  <c r="J13" i="37"/>
  <c r="H13" i="37"/>
  <c r="G13" i="37"/>
  <c r="F13" i="37"/>
  <c r="H11" i="37"/>
  <c r="G11" i="37"/>
  <c r="F11" i="37"/>
  <c r="H10" i="37"/>
  <c r="G10" i="37"/>
  <c r="F10" i="37"/>
  <c r="H9" i="37"/>
  <c r="G9" i="37"/>
  <c r="F9" i="37"/>
  <c r="H8" i="37"/>
  <c r="G8" i="37"/>
  <c r="F8" i="37"/>
  <c r="H7" i="37"/>
  <c r="G7" i="37"/>
  <c r="F7" i="37"/>
  <c r="H6" i="37"/>
  <c r="G6" i="37"/>
  <c r="F6" i="37"/>
  <c r="H4" i="37"/>
  <c r="G4" i="37"/>
  <c r="F4" i="37"/>
  <c r="H29" i="36"/>
  <c r="G29" i="36"/>
  <c r="F29" i="36"/>
  <c r="H28" i="36"/>
  <c r="G28" i="36"/>
  <c r="F28" i="36"/>
  <c r="H27" i="36"/>
  <c r="G27" i="36"/>
  <c r="F27" i="36"/>
  <c r="H26" i="36"/>
  <c r="G26" i="36"/>
  <c r="F26" i="36"/>
  <c r="H25" i="36"/>
  <c r="G25" i="36"/>
  <c r="F25" i="36"/>
  <c r="H24" i="36"/>
  <c r="G24" i="36"/>
  <c r="F24" i="36"/>
  <c r="H23" i="36"/>
  <c r="G23" i="36"/>
  <c r="F23" i="36"/>
  <c r="H22" i="36"/>
  <c r="G22" i="36"/>
  <c r="F22" i="36"/>
  <c r="H21" i="36"/>
  <c r="G21" i="36"/>
  <c r="F21" i="36"/>
  <c r="H20" i="36"/>
  <c r="G20" i="36"/>
  <c r="F20" i="36"/>
  <c r="H19" i="36"/>
  <c r="G19" i="36"/>
  <c r="F19" i="36"/>
  <c r="H18" i="36"/>
  <c r="G18" i="36"/>
  <c r="F18" i="36"/>
  <c r="H17" i="36"/>
  <c r="G17" i="36"/>
  <c r="F17" i="36"/>
  <c r="H16" i="36"/>
  <c r="G16" i="36"/>
  <c r="F16" i="36"/>
  <c r="H14" i="36"/>
  <c r="G14" i="36"/>
  <c r="F14" i="36"/>
  <c r="J13" i="36"/>
  <c r="H13" i="36"/>
  <c r="G13" i="36"/>
  <c r="F13" i="36"/>
  <c r="H12" i="36"/>
  <c r="G12" i="36"/>
  <c r="F12" i="36"/>
  <c r="H9" i="36"/>
  <c r="G9" i="36"/>
  <c r="F9" i="36"/>
  <c r="H8" i="36"/>
  <c r="G8" i="36"/>
  <c r="F8" i="36"/>
  <c r="H7" i="36"/>
  <c r="G7" i="36"/>
  <c r="F7" i="36"/>
  <c r="H6" i="36"/>
  <c r="G6" i="36"/>
  <c r="F6" i="36"/>
  <c r="H5" i="36"/>
  <c r="G5" i="36"/>
  <c r="F5" i="36"/>
  <c r="H4" i="36"/>
  <c r="G4" i="36"/>
  <c r="F4" i="36"/>
  <c r="H27" i="35"/>
  <c r="G27" i="35"/>
  <c r="F27" i="35"/>
  <c r="H26" i="35"/>
  <c r="G26" i="35"/>
  <c r="F26" i="35"/>
  <c r="H25" i="35"/>
  <c r="G25" i="35"/>
  <c r="F25" i="35"/>
  <c r="H24" i="35"/>
  <c r="G24" i="35"/>
  <c r="F24" i="35"/>
  <c r="H23" i="35"/>
  <c r="G23" i="35"/>
  <c r="F23" i="35"/>
  <c r="H22" i="35"/>
  <c r="G22" i="35"/>
  <c r="F22" i="35"/>
  <c r="H21" i="35"/>
  <c r="G21" i="35"/>
  <c r="F21" i="35"/>
  <c r="H20" i="35"/>
  <c r="G20" i="35"/>
  <c r="F20" i="35"/>
  <c r="H19" i="35"/>
  <c r="G19" i="35"/>
  <c r="F19" i="35"/>
  <c r="H18" i="35"/>
  <c r="G18" i="35"/>
  <c r="F18" i="35"/>
  <c r="H17" i="35"/>
  <c r="G17" i="35"/>
  <c r="F17" i="35"/>
  <c r="H16" i="35"/>
  <c r="G16" i="35"/>
  <c r="F16" i="35"/>
  <c r="H15" i="35"/>
  <c r="G15" i="35"/>
  <c r="F15" i="35"/>
  <c r="H14" i="35"/>
  <c r="G14" i="35"/>
  <c r="F14" i="35"/>
  <c r="H13" i="35"/>
  <c r="G13" i="35"/>
  <c r="F13" i="35"/>
  <c r="H12" i="35"/>
  <c r="G12" i="35"/>
  <c r="F12" i="35"/>
  <c r="J11" i="35"/>
  <c r="H11" i="35"/>
  <c r="G11" i="35"/>
  <c r="F11" i="35"/>
  <c r="H10" i="35"/>
  <c r="G10" i="35"/>
  <c r="F10" i="35"/>
  <c r="H9" i="35"/>
  <c r="G9" i="35"/>
  <c r="F9" i="35"/>
  <c r="H8" i="35"/>
  <c r="G8" i="35"/>
  <c r="F8" i="35"/>
  <c r="H7" i="35"/>
  <c r="G7" i="35"/>
  <c r="F7" i="35"/>
  <c r="H6" i="35"/>
  <c r="G6" i="35"/>
  <c r="F6" i="35"/>
  <c r="C1" i="35" s="1"/>
  <c r="C35" i="39" s="1"/>
  <c r="F35" i="39" s="1"/>
  <c r="H5" i="35"/>
  <c r="G5" i="35"/>
  <c r="F5" i="35"/>
  <c r="H4" i="35"/>
  <c r="G4" i="35"/>
  <c r="F4" i="35"/>
  <c r="H33" i="34"/>
  <c r="G33" i="34"/>
  <c r="F33" i="34"/>
  <c r="H32" i="34"/>
  <c r="G32" i="34"/>
  <c r="F32" i="34"/>
  <c r="H31" i="34"/>
  <c r="G31" i="34"/>
  <c r="F31" i="34"/>
  <c r="H30" i="34"/>
  <c r="G30" i="34"/>
  <c r="F30" i="34"/>
  <c r="H29" i="34"/>
  <c r="G29" i="34"/>
  <c r="F29" i="34"/>
  <c r="H28" i="34"/>
  <c r="G28" i="34"/>
  <c r="F28" i="34"/>
  <c r="H27" i="34"/>
  <c r="G27" i="34"/>
  <c r="F27" i="34"/>
  <c r="H26" i="34"/>
  <c r="G26" i="34"/>
  <c r="F26" i="34"/>
  <c r="H25" i="34"/>
  <c r="G25" i="34"/>
  <c r="F25" i="34"/>
  <c r="H24" i="34"/>
  <c r="G24" i="34"/>
  <c r="F24" i="34"/>
  <c r="H23" i="34"/>
  <c r="G23" i="34"/>
  <c r="F23" i="34"/>
  <c r="H21" i="34"/>
  <c r="G21" i="34"/>
  <c r="F21" i="34"/>
  <c r="H20" i="34"/>
  <c r="G20" i="34"/>
  <c r="F20" i="34"/>
  <c r="H19" i="34"/>
  <c r="G19" i="34"/>
  <c r="F19" i="34"/>
  <c r="H18" i="34"/>
  <c r="G18" i="34"/>
  <c r="F18" i="34"/>
  <c r="H17" i="34"/>
  <c r="G17" i="34"/>
  <c r="F17" i="34"/>
  <c r="J16" i="34"/>
  <c r="H16" i="34"/>
  <c r="G16" i="34"/>
  <c r="F16" i="34"/>
  <c r="H14" i="34"/>
  <c r="G14" i="34"/>
  <c r="F14" i="34"/>
  <c r="H10" i="34"/>
  <c r="G10" i="34"/>
  <c r="F10" i="34"/>
  <c r="H8" i="34"/>
  <c r="G8" i="34"/>
  <c r="F8" i="34"/>
  <c r="H7" i="34"/>
  <c r="G7" i="34"/>
  <c r="F7" i="34"/>
  <c r="H6" i="34"/>
  <c r="G6" i="34"/>
  <c r="F6" i="34"/>
  <c r="H5" i="34"/>
  <c r="G5" i="34"/>
  <c r="F5" i="34"/>
  <c r="H4" i="34"/>
  <c r="G4" i="34"/>
  <c r="F4" i="34"/>
  <c r="Q1" i="34"/>
  <c r="R1" i="34" s="1"/>
  <c r="H27" i="33"/>
  <c r="G27" i="33"/>
  <c r="F27" i="33"/>
  <c r="H26" i="33"/>
  <c r="G26" i="33"/>
  <c r="F26" i="33"/>
  <c r="H25" i="33"/>
  <c r="G25" i="33"/>
  <c r="F25" i="33"/>
  <c r="H24" i="33"/>
  <c r="G24" i="33"/>
  <c r="F24" i="33"/>
  <c r="H23" i="33"/>
  <c r="G23" i="33"/>
  <c r="F23" i="33"/>
  <c r="H22" i="33"/>
  <c r="G22" i="33"/>
  <c r="F22" i="33"/>
  <c r="H21" i="33"/>
  <c r="G21" i="33"/>
  <c r="F21" i="33"/>
  <c r="H20" i="33"/>
  <c r="G20" i="33"/>
  <c r="F20" i="33"/>
  <c r="H19" i="33"/>
  <c r="G19" i="33"/>
  <c r="F19" i="33"/>
  <c r="H18" i="33"/>
  <c r="G18" i="33"/>
  <c r="F18" i="33"/>
  <c r="H17" i="33"/>
  <c r="G17" i="33"/>
  <c r="F17" i="33"/>
  <c r="H16" i="33"/>
  <c r="G16" i="33"/>
  <c r="F16" i="33"/>
  <c r="H15" i="33"/>
  <c r="G15" i="33"/>
  <c r="F15" i="33"/>
  <c r="H14" i="33"/>
  <c r="G14" i="33"/>
  <c r="F14" i="33"/>
  <c r="H13" i="33"/>
  <c r="G13" i="33"/>
  <c r="F13" i="33"/>
  <c r="H12" i="33"/>
  <c r="G12" i="33"/>
  <c r="F12" i="33"/>
  <c r="J11" i="33"/>
  <c r="H11" i="33"/>
  <c r="G11" i="33"/>
  <c r="F11" i="33"/>
  <c r="H10" i="33"/>
  <c r="G10" i="33"/>
  <c r="F10" i="33"/>
  <c r="H9" i="33"/>
  <c r="G9" i="33"/>
  <c r="F9" i="33"/>
  <c r="H8" i="33"/>
  <c r="G8" i="33"/>
  <c r="F8" i="33"/>
  <c r="H7" i="33"/>
  <c r="G7" i="33"/>
  <c r="F7" i="33"/>
  <c r="H6" i="33"/>
  <c r="G6" i="33"/>
  <c r="F6" i="33"/>
  <c r="H5" i="33"/>
  <c r="G5" i="33"/>
  <c r="F5" i="33"/>
  <c r="H4" i="33"/>
  <c r="G4" i="33"/>
  <c r="F4" i="33"/>
  <c r="H28" i="32"/>
  <c r="G28" i="32"/>
  <c r="F28" i="32"/>
  <c r="H27" i="32"/>
  <c r="G27" i="32"/>
  <c r="F27" i="32"/>
  <c r="H26" i="32"/>
  <c r="G26" i="32"/>
  <c r="F26" i="32"/>
  <c r="H25" i="32"/>
  <c r="G25" i="32"/>
  <c r="F25" i="32"/>
  <c r="H24" i="32"/>
  <c r="G24" i="32"/>
  <c r="F24" i="32"/>
  <c r="H23" i="32"/>
  <c r="G23" i="32"/>
  <c r="F23" i="32"/>
  <c r="H22" i="32"/>
  <c r="G22" i="32"/>
  <c r="F22" i="32"/>
  <c r="H21" i="32"/>
  <c r="G21" i="32"/>
  <c r="F21" i="32"/>
  <c r="H20" i="32"/>
  <c r="G20" i="32"/>
  <c r="F20" i="32"/>
  <c r="H19" i="32"/>
  <c r="G19" i="32"/>
  <c r="F19" i="32"/>
  <c r="H18" i="32"/>
  <c r="G18" i="32"/>
  <c r="F18" i="32"/>
  <c r="H17" i="32"/>
  <c r="G17" i="32"/>
  <c r="F17" i="32"/>
  <c r="H16" i="32"/>
  <c r="G16" i="32"/>
  <c r="F16" i="32"/>
  <c r="H15" i="32"/>
  <c r="G15" i="32"/>
  <c r="F15" i="32"/>
  <c r="H14" i="32"/>
  <c r="G14" i="32"/>
  <c r="F14" i="32"/>
  <c r="H13" i="32"/>
  <c r="G13" i="32"/>
  <c r="F13" i="32"/>
  <c r="J12" i="32"/>
  <c r="H12" i="32"/>
  <c r="G12" i="32"/>
  <c r="F12" i="32"/>
  <c r="H11" i="32"/>
  <c r="G11" i="32"/>
  <c r="F11" i="32"/>
  <c r="H10" i="32"/>
  <c r="G10" i="32"/>
  <c r="F10" i="32"/>
  <c r="H9" i="32"/>
  <c r="G9" i="32"/>
  <c r="F9" i="32"/>
  <c r="H8" i="32"/>
  <c r="G8" i="32"/>
  <c r="F8" i="32"/>
  <c r="H7" i="32"/>
  <c r="G7" i="32"/>
  <c r="F7" i="32"/>
  <c r="H5" i="32"/>
  <c r="G5" i="32"/>
  <c r="F5" i="32"/>
  <c r="H4" i="32"/>
  <c r="G4" i="32"/>
  <c r="F4" i="32"/>
  <c r="H27" i="31"/>
  <c r="G27" i="31"/>
  <c r="F27" i="31"/>
  <c r="H26" i="31"/>
  <c r="G26" i="31"/>
  <c r="F26" i="31"/>
  <c r="H25" i="31"/>
  <c r="G25" i="31"/>
  <c r="F25" i="31"/>
  <c r="H24" i="31"/>
  <c r="G24" i="31"/>
  <c r="F24" i="31"/>
  <c r="H23" i="31"/>
  <c r="G23" i="31"/>
  <c r="F23" i="31"/>
  <c r="H22" i="31"/>
  <c r="G22" i="31"/>
  <c r="F22" i="31"/>
  <c r="H21" i="31"/>
  <c r="G21" i="31"/>
  <c r="F21" i="31"/>
  <c r="H20" i="31"/>
  <c r="G20" i="31"/>
  <c r="F20" i="31"/>
  <c r="H19" i="31"/>
  <c r="G19" i="31"/>
  <c r="F19" i="31"/>
  <c r="H18" i="31"/>
  <c r="G18" i="31"/>
  <c r="F18" i="31"/>
  <c r="H17" i="31"/>
  <c r="G17" i="31"/>
  <c r="F17" i="31"/>
  <c r="H16" i="31"/>
  <c r="G16" i="31"/>
  <c r="F16" i="31"/>
  <c r="H15" i="31"/>
  <c r="G15" i="31"/>
  <c r="F15" i="31"/>
  <c r="H14" i="31"/>
  <c r="G14" i="31"/>
  <c r="F14" i="31"/>
  <c r="H13" i="31"/>
  <c r="G13" i="31"/>
  <c r="F13" i="31"/>
  <c r="H12" i="31"/>
  <c r="G12" i="31"/>
  <c r="F12" i="31"/>
  <c r="J11" i="31"/>
  <c r="H11" i="31"/>
  <c r="G11" i="31"/>
  <c r="F11" i="31"/>
  <c r="H10" i="31"/>
  <c r="G10" i="31"/>
  <c r="F10" i="31"/>
  <c r="H9" i="31"/>
  <c r="G9" i="31"/>
  <c r="F9" i="31"/>
  <c r="H8" i="31"/>
  <c r="G8" i="31"/>
  <c r="F8" i="31"/>
  <c r="H7" i="31"/>
  <c r="G7" i="31"/>
  <c r="F7" i="31"/>
  <c r="H6" i="31"/>
  <c r="G6" i="31"/>
  <c r="F6" i="31"/>
  <c r="H5" i="31"/>
  <c r="G5" i="31"/>
  <c r="F5" i="31"/>
  <c r="C1" i="31" s="1"/>
  <c r="C15" i="39" s="1"/>
  <c r="F15" i="39" s="1"/>
  <c r="H4" i="31"/>
  <c r="G4" i="31"/>
  <c r="F4" i="31"/>
  <c r="H27" i="30"/>
  <c r="G27" i="30"/>
  <c r="F27" i="30"/>
  <c r="H26" i="30"/>
  <c r="G26" i="30"/>
  <c r="F26" i="30"/>
  <c r="H25" i="30"/>
  <c r="G25" i="30"/>
  <c r="F25" i="30"/>
  <c r="H24" i="30"/>
  <c r="G24" i="30"/>
  <c r="F24" i="30"/>
  <c r="H23" i="30"/>
  <c r="G23" i="30"/>
  <c r="F23" i="30"/>
  <c r="H22" i="30"/>
  <c r="G22" i="30"/>
  <c r="F22" i="30"/>
  <c r="H21" i="30"/>
  <c r="G21" i="30"/>
  <c r="F21" i="30"/>
  <c r="H20" i="30"/>
  <c r="G20" i="30"/>
  <c r="F20" i="30"/>
  <c r="H19" i="30"/>
  <c r="G19" i="30"/>
  <c r="F19" i="30"/>
  <c r="H18" i="30"/>
  <c r="G18" i="30"/>
  <c r="F18" i="30"/>
  <c r="H17" i="30"/>
  <c r="G17" i="30"/>
  <c r="F17" i="30"/>
  <c r="H16" i="30"/>
  <c r="G16" i="30"/>
  <c r="F16" i="30"/>
  <c r="H15" i="30"/>
  <c r="G15" i="30"/>
  <c r="F15" i="30"/>
  <c r="H14" i="30"/>
  <c r="G14" i="30"/>
  <c r="F14" i="30"/>
  <c r="H13" i="30"/>
  <c r="G13" i="30"/>
  <c r="F13" i="30"/>
  <c r="H12" i="30"/>
  <c r="G12" i="30"/>
  <c r="F12" i="30"/>
  <c r="J11" i="30"/>
  <c r="H11" i="30"/>
  <c r="G11" i="30"/>
  <c r="F11" i="30"/>
  <c r="H10" i="30"/>
  <c r="G10" i="30"/>
  <c r="F10" i="30"/>
  <c r="H9" i="30"/>
  <c r="G9" i="30"/>
  <c r="F9" i="30"/>
  <c r="H8" i="30"/>
  <c r="G8" i="30"/>
  <c r="F8" i="30"/>
  <c r="H7" i="30"/>
  <c r="G7" i="30"/>
  <c r="F7" i="30"/>
  <c r="H6" i="30"/>
  <c r="G6" i="30"/>
  <c r="F6" i="30"/>
  <c r="H5" i="30"/>
  <c r="G5" i="30"/>
  <c r="F5" i="30"/>
  <c r="H4" i="30"/>
  <c r="G4" i="30"/>
  <c r="F4" i="30"/>
  <c r="H27" i="29"/>
  <c r="G27" i="29"/>
  <c r="F27" i="29"/>
  <c r="H26" i="29"/>
  <c r="G26" i="29"/>
  <c r="F26" i="29"/>
  <c r="H25" i="29"/>
  <c r="G25" i="29"/>
  <c r="F25" i="29"/>
  <c r="H24" i="29"/>
  <c r="G24" i="29"/>
  <c r="F24" i="29"/>
  <c r="H23" i="29"/>
  <c r="G23" i="29"/>
  <c r="F23" i="29"/>
  <c r="H22" i="29"/>
  <c r="G22" i="29"/>
  <c r="F22" i="29"/>
  <c r="H21" i="29"/>
  <c r="G21" i="29"/>
  <c r="F21" i="29"/>
  <c r="H20" i="29"/>
  <c r="G20" i="29"/>
  <c r="F20" i="29"/>
  <c r="H19" i="29"/>
  <c r="G19" i="29"/>
  <c r="F19" i="29"/>
  <c r="H18" i="29"/>
  <c r="G18" i="29"/>
  <c r="F18" i="29"/>
  <c r="H17" i="29"/>
  <c r="G17" i="29"/>
  <c r="F17" i="29"/>
  <c r="H16" i="29"/>
  <c r="G16" i="29"/>
  <c r="F16" i="29"/>
  <c r="H15" i="29"/>
  <c r="G15" i="29"/>
  <c r="F15" i="29"/>
  <c r="H14" i="29"/>
  <c r="G14" i="29"/>
  <c r="F14" i="29"/>
  <c r="H13" i="29"/>
  <c r="G13" i="29"/>
  <c r="F13" i="29"/>
  <c r="H12" i="29"/>
  <c r="G12" i="29"/>
  <c r="F12" i="29"/>
  <c r="C1" i="29" s="1"/>
  <c r="C31" i="39" s="1"/>
  <c r="F31" i="39" s="1"/>
  <c r="J11" i="29"/>
  <c r="H11" i="29"/>
  <c r="G11" i="29"/>
  <c r="F11" i="29"/>
  <c r="H10" i="29"/>
  <c r="G10" i="29"/>
  <c r="F10" i="29"/>
  <c r="H9" i="29"/>
  <c r="G9" i="29"/>
  <c r="F9" i="29"/>
  <c r="H8" i="29"/>
  <c r="G8" i="29"/>
  <c r="F8" i="29"/>
  <c r="H7" i="29"/>
  <c r="G7" i="29"/>
  <c r="F7" i="29"/>
  <c r="H6" i="29"/>
  <c r="G6" i="29"/>
  <c r="F6" i="29"/>
  <c r="H5" i="29"/>
  <c r="G5" i="29"/>
  <c r="F5" i="29"/>
  <c r="H4" i="29"/>
  <c r="G4" i="29"/>
  <c r="F4" i="29"/>
  <c r="Q1" i="29"/>
  <c r="R1" i="29" s="1"/>
  <c r="H27" i="28"/>
  <c r="G27" i="28"/>
  <c r="F27" i="28"/>
  <c r="H26" i="28"/>
  <c r="G26" i="28"/>
  <c r="F26" i="28"/>
  <c r="H25" i="28"/>
  <c r="G25" i="28"/>
  <c r="F25" i="28"/>
  <c r="H24" i="28"/>
  <c r="G24" i="28"/>
  <c r="F24" i="28"/>
  <c r="H23" i="28"/>
  <c r="G23" i="28"/>
  <c r="F23" i="28"/>
  <c r="H22" i="28"/>
  <c r="G22" i="28"/>
  <c r="F22" i="28"/>
  <c r="H21" i="28"/>
  <c r="G21" i="28"/>
  <c r="F21" i="28"/>
  <c r="H20" i="28"/>
  <c r="G20" i="28"/>
  <c r="F20" i="28"/>
  <c r="H19" i="28"/>
  <c r="G19" i="28"/>
  <c r="F19" i="28"/>
  <c r="H18" i="28"/>
  <c r="G18" i="28"/>
  <c r="F18" i="28"/>
  <c r="H17" i="28"/>
  <c r="G17" i="28"/>
  <c r="F17" i="28"/>
  <c r="H16" i="28"/>
  <c r="G16" i="28"/>
  <c r="F16" i="28"/>
  <c r="H15" i="28"/>
  <c r="G15" i="28"/>
  <c r="F15" i="28"/>
  <c r="H14" i="28"/>
  <c r="G14" i="28"/>
  <c r="F14" i="28"/>
  <c r="H13" i="28"/>
  <c r="G13" i="28"/>
  <c r="F13" i="28"/>
  <c r="H12" i="28"/>
  <c r="G12" i="28"/>
  <c r="F12" i="28"/>
  <c r="J11" i="28"/>
  <c r="H11" i="28"/>
  <c r="G11" i="28"/>
  <c r="F11" i="28"/>
  <c r="H10" i="28"/>
  <c r="G10" i="28"/>
  <c r="F10" i="28"/>
  <c r="H9" i="28"/>
  <c r="G9" i="28"/>
  <c r="F9" i="28"/>
  <c r="H8" i="28"/>
  <c r="G8" i="28"/>
  <c r="F8" i="28"/>
  <c r="H7" i="28"/>
  <c r="G7" i="28"/>
  <c r="F7" i="28"/>
  <c r="H6" i="28"/>
  <c r="G6" i="28"/>
  <c r="F6" i="28"/>
  <c r="H5" i="28"/>
  <c r="G5" i="28"/>
  <c r="F5" i="28"/>
  <c r="H4" i="28"/>
  <c r="G4" i="28"/>
  <c r="F4" i="28"/>
  <c r="H27" i="27"/>
  <c r="G27" i="27"/>
  <c r="F27" i="27"/>
  <c r="H26" i="27"/>
  <c r="G26" i="27"/>
  <c r="F26" i="27"/>
  <c r="H25" i="27"/>
  <c r="G25" i="27"/>
  <c r="F25" i="27"/>
  <c r="H24" i="27"/>
  <c r="G24" i="27"/>
  <c r="F24" i="27"/>
  <c r="H23" i="27"/>
  <c r="G23" i="27"/>
  <c r="F23" i="27"/>
  <c r="H22" i="27"/>
  <c r="G22" i="27"/>
  <c r="F22" i="27"/>
  <c r="H21" i="27"/>
  <c r="G21" i="27"/>
  <c r="F21" i="27"/>
  <c r="H20" i="27"/>
  <c r="G20" i="27"/>
  <c r="F20" i="27"/>
  <c r="H19" i="27"/>
  <c r="G19" i="27"/>
  <c r="F19" i="27"/>
  <c r="H18" i="27"/>
  <c r="G18" i="27"/>
  <c r="F18" i="27"/>
  <c r="H17" i="27"/>
  <c r="G17" i="27"/>
  <c r="F17" i="27"/>
  <c r="H16" i="27"/>
  <c r="G16" i="27"/>
  <c r="F16" i="27"/>
  <c r="H15" i="27"/>
  <c r="G15" i="27"/>
  <c r="F15" i="27"/>
  <c r="H14" i="27"/>
  <c r="G14" i="27"/>
  <c r="F14" i="27"/>
  <c r="H13" i="27"/>
  <c r="G13" i="27"/>
  <c r="F13" i="27"/>
  <c r="H12" i="27"/>
  <c r="G12" i="27"/>
  <c r="F12" i="27"/>
  <c r="J11" i="27"/>
  <c r="H11" i="27"/>
  <c r="G11" i="27"/>
  <c r="F11" i="27"/>
  <c r="H10" i="27"/>
  <c r="G10" i="27"/>
  <c r="F10" i="27"/>
  <c r="H9" i="27"/>
  <c r="G9" i="27"/>
  <c r="F9" i="27"/>
  <c r="H8" i="27"/>
  <c r="G8" i="27"/>
  <c r="F8" i="27"/>
  <c r="H7" i="27"/>
  <c r="G7" i="27"/>
  <c r="F7" i="27"/>
  <c r="H6" i="27"/>
  <c r="G6" i="27"/>
  <c r="F6" i="27"/>
  <c r="H5" i="27"/>
  <c r="G5" i="27"/>
  <c r="F5" i="27"/>
  <c r="C1" i="27" s="1"/>
  <c r="C21" i="39" s="1"/>
  <c r="F21" i="39" s="1"/>
  <c r="H4" i="27"/>
  <c r="G4" i="27"/>
  <c r="F4" i="27"/>
  <c r="L3" i="27" s="1"/>
  <c r="H27" i="26"/>
  <c r="G27" i="26"/>
  <c r="F27" i="26"/>
  <c r="H26" i="26"/>
  <c r="G26" i="26"/>
  <c r="F26" i="26"/>
  <c r="H25" i="26"/>
  <c r="G25" i="26"/>
  <c r="F25" i="26"/>
  <c r="H24" i="26"/>
  <c r="G24" i="26"/>
  <c r="F24" i="26"/>
  <c r="H23" i="26"/>
  <c r="G23" i="26"/>
  <c r="F23" i="26"/>
  <c r="H22" i="26"/>
  <c r="G22" i="26"/>
  <c r="F22" i="26"/>
  <c r="H21" i="26"/>
  <c r="G21" i="26"/>
  <c r="F21" i="26"/>
  <c r="H20" i="26"/>
  <c r="G20" i="26"/>
  <c r="F20" i="26"/>
  <c r="H19" i="26"/>
  <c r="G19" i="26"/>
  <c r="F19" i="26"/>
  <c r="H18" i="26"/>
  <c r="G18" i="26"/>
  <c r="F18" i="26"/>
  <c r="H17" i="26"/>
  <c r="G17" i="26"/>
  <c r="F17" i="26"/>
  <c r="H16" i="26"/>
  <c r="G16" i="26"/>
  <c r="F16" i="26"/>
  <c r="H15" i="26"/>
  <c r="G15" i="26"/>
  <c r="F15" i="26"/>
  <c r="H14" i="26"/>
  <c r="G14" i="26"/>
  <c r="F14" i="26"/>
  <c r="H13" i="26"/>
  <c r="G13" i="26"/>
  <c r="F13" i="26"/>
  <c r="H12" i="26"/>
  <c r="G12" i="26"/>
  <c r="F12" i="26"/>
  <c r="C1" i="26" s="1"/>
  <c r="C32" i="39" s="1"/>
  <c r="F32" i="39" s="1"/>
  <c r="J11" i="26"/>
  <c r="H11" i="26"/>
  <c r="G11" i="26"/>
  <c r="F11" i="26"/>
  <c r="H10" i="26"/>
  <c r="G10" i="26"/>
  <c r="F10" i="26"/>
  <c r="H9" i="26"/>
  <c r="G9" i="26"/>
  <c r="F9" i="26"/>
  <c r="H8" i="26"/>
  <c r="G8" i="26"/>
  <c r="F8" i="26"/>
  <c r="H7" i="26"/>
  <c r="G7" i="26"/>
  <c r="F7" i="26"/>
  <c r="H6" i="26"/>
  <c r="G6" i="26"/>
  <c r="F6" i="26"/>
  <c r="H5" i="26"/>
  <c r="G5" i="26"/>
  <c r="F5" i="26"/>
  <c r="H4" i="26"/>
  <c r="G4" i="26"/>
  <c r="F4" i="26"/>
  <c r="H27" i="25"/>
  <c r="G27" i="25"/>
  <c r="F27" i="25"/>
  <c r="H26" i="25"/>
  <c r="G26" i="25"/>
  <c r="F26" i="25"/>
  <c r="H25" i="25"/>
  <c r="G25" i="25"/>
  <c r="F25" i="25"/>
  <c r="H24" i="25"/>
  <c r="G24" i="25"/>
  <c r="F24" i="25"/>
  <c r="H23" i="25"/>
  <c r="G23" i="25"/>
  <c r="F23" i="25"/>
  <c r="H22" i="25"/>
  <c r="G22" i="25"/>
  <c r="F22" i="25"/>
  <c r="H21" i="25"/>
  <c r="G21" i="25"/>
  <c r="F21" i="25"/>
  <c r="H20" i="25"/>
  <c r="G20" i="25"/>
  <c r="F20" i="25"/>
  <c r="H19" i="25"/>
  <c r="G19" i="25"/>
  <c r="F19" i="25"/>
  <c r="H18" i="25"/>
  <c r="G18" i="25"/>
  <c r="F18" i="25"/>
  <c r="H17" i="25"/>
  <c r="G17" i="25"/>
  <c r="F17" i="25"/>
  <c r="H16" i="25"/>
  <c r="G16" i="25"/>
  <c r="F16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J11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F5" i="22"/>
  <c r="G5" i="22"/>
  <c r="H5" i="22"/>
  <c r="H27" i="24"/>
  <c r="G27" i="24"/>
  <c r="F27" i="24"/>
  <c r="H26" i="24"/>
  <c r="G26" i="24"/>
  <c r="F26" i="24"/>
  <c r="H25" i="24"/>
  <c r="G25" i="24"/>
  <c r="F25" i="24"/>
  <c r="H24" i="24"/>
  <c r="G24" i="24"/>
  <c r="F24" i="24"/>
  <c r="H23" i="24"/>
  <c r="G23" i="24"/>
  <c r="F23" i="24"/>
  <c r="H22" i="24"/>
  <c r="G22" i="24"/>
  <c r="F22" i="24"/>
  <c r="H21" i="24"/>
  <c r="G21" i="24"/>
  <c r="F21" i="24"/>
  <c r="H20" i="24"/>
  <c r="G20" i="24"/>
  <c r="F20" i="24"/>
  <c r="H19" i="24"/>
  <c r="G19" i="24"/>
  <c r="F19" i="24"/>
  <c r="H18" i="24"/>
  <c r="G18" i="24"/>
  <c r="F18" i="24"/>
  <c r="H17" i="24"/>
  <c r="G17" i="24"/>
  <c r="F17" i="24"/>
  <c r="H16" i="24"/>
  <c r="G16" i="24"/>
  <c r="F16" i="24"/>
  <c r="H15" i="24"/>
  <c r="G15" i="24"/>
  <c r="F15" i="24"/>
  <c r="H14" i="24"/>
  <c r="G14" i="24"/>
  <c r="F14" i="24"/>
  <c r="H13" i="24"/>
  <c r="G13" i="24"/>
  <c r="F13" i="24"/>
  <c r="H12" i="24"/>
  <c r="G12" i="24"/>
  <c r="F12" i="24"/>
  <c r="C1" i="24" s="1"/>
  <c r="J11" i="24"/>
  <c r="H11" i="24"/>
  <c r="G11" i="24"/>
  <c r="F11" i="24"/>
  <c r="H10" i="24"/>
  <c r="G10" i="24"/>
  <c r="F10" i="24"/>
  <c r="H9" i="24"/>
  <c r="G9" i="24"/>
  <c r="F9" i="24"/>
  <c r="H8" i="24"/>
  <c r="G8" i="24"/>
  <c r="F8" i="24"/>
  <c r="H7" i="24"/>
  <c r="G7" i="24"/>
  <c r="F7" i="24"/>
  <c r="H6" i="24"/>
  <c r="G6" i="24"/>
  <c r="F6" i="24"/>
  <c r="H5" i="24"/>
  <c r="G5" i="24"/>
  <c r="F5" i="24"/>
  <c r="H4" i="24"/>
  <c r="G4" i="24"/>
  <c r="F4" i="24"/>
  <c r="H27" i="23"/>
  <c r="G27" i="23"/>
  <c r="F27" i="23"/>
  <c r="H26" i="23"/>
  <c r="G26" i="23"/>
  <c r="F26" i="23"/>
  <c r="H25" i="23"/>
  <c r="G25" i="23"/>
  <c r="F25" i="23"/>
  <c r="H24" i="23"/>
  <c r="G24" i="23"/>
  <c r="F24" i="23"/>
  <c r="H23" i="23"/>
  <c r="G23" i="23"/>
  <c r="F23" i="23"/>
  <c r="H22" i="23"/>
  <c r="G22" i="23"/>
  <c r="F22" i="23"/>
  <c r="H21" i="23"/>
  <c r="G21" i="23"/>
  <c r="F21" i="23"/>
  <c r="H20" i="23"/>
  <c r="G20" i="23"/>
  <c r="F20" i="23"/>
  <c r="H19" i="23"/>
  <c r="G19" i="23"/>
  <c r="F19" i="23"/>
  <c r="H18" i="23"/>
  <c r="G18" i="23"/>
  <c r="F18" i="23"/>
  <c r="H17" i="23"/>
  <c r="G17" i="23"/>
  <c r="F17" i="23"/>
  <c r="H16" i="23"/>
  <c r="G16" i="23"/>
  <c r="F16" i="23"/>
  <c r="H15" i="23"/>
  <c r="G15" i="23"/>
  <c r="F15" i="23"/>
  <c r="H14" i="23"/>
  <c r="G14" i="23"/>
  <c r="F14" i="23"/>
  <c r="H13" i="23"/>
  <c r="G13" i="23"/>
  <c r="F13" i="23"/>
  <c r="H12" i="23"/>
  <c r="G12" i="23"/>
  <c r="F12" i="23"/>
  <c r="J11" i="23"/>
  <c r="H11" i="23"/>
  <c r="G11" i="23"/>
  <c r="F11" i="23"/>
  <c r="H10" i="23"/>
  <c r="G10" i="23"/>
  <c r="F10" i="23"/>
  <c r="H9" i="23"/>
  <c r="G9" i="23"/>
  <c r="F9" i="23"/>
  <c r="H8" i="23"/>
  <c r="G8" i="23"/>
  <c r="F8" i="23"/>
  <c r="H7" i="23"/>
  <c r="G7" i="23"/>
  <c r="F7" i="23"/>
  <c r="H6" i="23"/>
  <c r="G6" i="23"/>
  <c r="F6" i="23"/>
  <c r="H5" i="23"/>
  <c r="G5" i="23"/>
  <c r="F5" i="23"/>
  <c r="H4" i="23"/>
  <c r="G4" i="23"/>
  <c r="F4" i="23"/>
  <c r="H29" i="22"/>
  <c r="G29" i="22"/>
  <c r="F29" i="22"/>
  <c r="H28" i="22"/>
  <c r="G28" i="22"/>
  <c r="F28" i="22"/>
  <c r="H27" i="22"/>
  <c r="G27" i="22"/>
  <c r="F27" i="22"/>
  <c r="H26" i="22"/>
  <c r="G26" i="22"/>
  <c r="F26" i="22"/>
  <c r="H25" i="22"/>
  <c r="G25" i="22"/>
  <c r="F25" i="22"/>
  <c r="H24" i="22"/>
  <c r="G24" i="22"/>
  <c r="F24" i="22"/>
  <c r="H23" i="22"/>
  <c r="G23" i="22"/>
  <c r="F23" i="22"/>
  <c r="H22" i="22"/>
  <c r="G22" i="22"/>
  <c r="F22" i="22"/>
  <c r="H21" i="22"/>
  <c r="G21" i="22"/>
  <c r="F21" i="22"/>
  <c r="H20" i="22"/>
  <c r="G20" i="22"/>
  <c r="F20" i="22"/>
  <c r="H19" i="22"/>
  <c r="G19" i="22"/>
  <c r="F19" i="22"/>
  <c r="H18" i="22"/>
  <c r="G18" i="22"/>
  <c r="F18" i="22"/>
  <c r="H17" i="22"/>
  <c r="G17" i="22"/>
  <c r="F17" i="22"/>
  <c r="H16" i="22"/>
  <c r="G16" i="22"/>
  <c r="F16" i="22"/>
  <c r="H14" i="22"/>
  <c r="G14" i="22"/>
  <c r="F14" i="22"/>
  <c r="H13" i="22"/>
  <c r="G13" i="22"/>
  <c r="F13" i="22"/>
  <c r="J12" i="22"/>
  <c r="H12" i="22"/>
  <c r="G12" i="22"/>
  <c r="F12" i="22"/>
  <c r="H11" i="22"/>
  <c r="G11" i="22"/>
  <c r="F11" i="22"/>
  <c r="H10" i="22"/>
  <c r="G10" i="22"/>
  <c r="F10" i="22"/>
  <c r="H9" i="22"/>
  <c r="G9" i="22"/>
  <c r="F9" i="22"/>
  <c r="H8" i="22"/>
  <c r="G8" i="22"/>
  <c r="F8" i="22"/>
  <c r="H7" i="22"/>
  <c r="G7" i="22"/>
  <c r="F7" i="22"/>
  <c r="H6" i="22"/>
  <c r="G6" i="22"/>
  <c r="F6" i="22"/>
  <c r="H4" i="22"/>
  <c r="G4" i="22"/>
  <c r="F4" i="22"/>
  <c r="H27" i="21"/>
  <c r="G27" i="21"/>
  <c r="F27" i="21"/>
  <c r="H26" i="21"/>
  <c r="G26" i="21"/>
  <c r="F26" i="21"/>
  <c r="H25" i="21"/>
  <c r="G25" i="21"/>
  <c r="F25" i="21"/>
  <c r="H24" i="21"/>
  <c r="G24" i="21"/>
  <c r="F24" i="21"/>
  <c r="H23" i="21"/>
  <c r="G23" i="21"/>
  <c r="F23" i="21"/>
  <c r="H22" i="21"/>
  <c r="G22" i="21"/>
  <c r="F22" i="21"/>
  <c r="H21" i="21"/>
  <c r="G21" i="21"/>
  <c r="F21" i="21"/>
  <c r="H20" i="21"/>
  <c r="G20" i="21"/>
  <c r="F20" i="21"/>
  <c r="H19" i="21"/>
  <c r="G19" i="21"/>
  <c r="F19" i="21"/>
  <c r="H18" i="21"/>
  <c r="G18" i="21"/>
  <c r="F18" i="21"/>
  <c r="H17" i="21"/>
  <c r="G17" i="21"/>
  <c r="F17" i="21"/>
  <c r="H16" i="21"/>
  <c r="G16" i="21"/>
  <c r="F16" i="21"/>
  <c r="H15" i="21"/>
  <c r="G15" i="21"/>
  <c r="F15" i="21"/>
  <c r="H14" i="21"/>
  <c r="G14" i="21"/>
  <c r="F14" i="21"/>
  <c r="H13" i="21"/>
  <c r="G13" i="21"/>
  <c r="F13" i="21"/>
  <c r="C1" i="21" s="1"/>
  <c r="H12" i="21"/>
  <c r="G12" i="21"/>
  <c r="F12" i="21"/>
  <c r="J11" i="21"/>
  <c r="H11" i="21"/>
  <c r="G11" i="21"/>
  <c r="F11" i="21"/>
  <c r="H10" i="21"/>
  <c r="G10" i="21"/>
  <c r="F10" i="21"/>
  <c r="H9" i="21"/>
  <c r="G9" i="21"/>
  <c r="F9" i="21"/>
  <c r="H8" i="21"/>
  <c r="G8" i="21"/>
  <c r="F8" i="21"/>
  <c r="H7" i="21"/>
  <c r="G7" i="21"/>
  <c r="F7" i="21"/>
  <c r="H6" i="21"/>
  <c r="G6" i="21"/>
  <c r="F6" i="21"/>
  <c r="H5" i="21"/>
  <c r="G5" i="21"/>
  <c r="F5" i="21"/>
  <c r="H4" i="21"/>
  <c r="G4" i="21"/>
  <c r="F4" i="21"/>
  <c r="Q1" i="21"/>
  <c r="R1" i="21" s="1"/>
  <c r="P1" i="21"/>
  <c r="H27" i="20"/>
  <c r="G27" i="20"/>
  <c r="F27" i="20"/>
  <c r="H26" i="20"/>
  <c r="G26" i="20"/>
  <c r="F26" i="20"/>
  <c r="H25" i="20"/>
  <c r="G25" i="20"/>
  <c r="F25" i="20"/>
  <c r="H24" i="20"/>
  <c r="G24" i="20"/>
  <c r="F24" i="20"/>
  <c r="H23" i="20"/>
  <c r="G23" i="20"/>
  <c r="F23" i="20"/>
  <c r="H22" i="20"/>
  <c r="G22" i="20"/>
  <c r="F22" i="20"/>
  <c r="H21" i="20"/>
  <c r="G21" i="20"/>
  <c r="F21" i="20"/>
  <c r="H20" i="20"/>
  <c r="G20" i="20"/>
  <c r="F20" i="20"/>
  <c r="H19" i="20"/>
  <c r="G19" i="20"/>
  <c r="F19" i="20"/>
  <c r="H18" i="20"/>
  <c r="G18" i="20"/>
  <c r="F18" i="20"/>
  <c r="H17" i="20"/>
  <c r="G17" i="20"/>
  <c r="F17" i="20"/>
  <c r="H16" i="20"/>
  <c r="G16" i="20"/>
  <c r="F16" i="20"/>
  <c r="H15" i="20"/>
  <c r="G15" i="20"/>
  <c r="F15" i="20"/>
  <c r="H14" i="20"/>
  <c r="G14" i="20"/>
  <c r="F14" i="20"/>
  <c r="H13" i="20"/>
  <c r="G13" i="20"/>
  <c r="F13" i="20"/>
  <c r="H12" i="20"/>
  <c r="G12" i="20"/>
  <c r="F12" i="20"/>
  <c r="J11" i="20"/>
  <c r="H11" i="20"/>
  <c r="G11" i="20"/>
  <c r="F11" i="20"/>
  <c r="H10" i="20"/>
  <c r="G10" i="20"/>
  <c r="F10" i="20"/>
  <c r="H9" i="20"/>
  <c r="G9" i="20"/>
  <c r="F9" i="20"/>
  <c r="H8" i="20"/>
  <c r="G8" i="20"/>
  <c r="F8" i="20"/>
  <c r="H7" i="20"/>
  <c r="G7" i="20"/>
  <c r="F7" i="20"/>
  <c r="H6" i="20"/>
  <c r="G6" i="20"/>
  <c r="F6" i="20"/>
  <c r="H5" i="20"/>
  <c r="G5" i="20"/>
  <c r="F5" i="20"/>
  <c r="C1" i="20" s="1"/>
  <c r="H4" i="20"/>
  <c r="G4" i="20"/>
  <c r="F4" i="20"/>
  <c r="R1" i="20"/>
  <c r="Q1" i="20"/>
  <c r="P1" i="20"/>
  <c r="H27" i="19"/>
  <c r="G27" i="19"/>
  <c r="F27" i="19"/>
  <c r="H26" i="19"/>
  <c r="G26" i="19"/>
  <c r="F26" i="19"/>
  <c r="H25" i="19"/>
  <c r="G25" i="19"/>
  <c r="F25" i="19"/>
  <c r="H24" i="19"/>
  <c r="G24" i="19"/>
  <c r="F24" i="19"/>
  <c r="H23" i="19"/>
  <c r="G23" i="19"/>
  <c r="F23" i="19"/>
  <c r="H22" i="19"/>
  <c r="G22" i="19"/>
  <c r="F22" i="19"/>
  <c r="H21" i="19"/>
  <c r="G21" i="19"/>
  <c r="F21" i="19"/>
  <c r="H20" i="19"/>
  <c r="G20" i="19"/>
  <c r="F20" i="19"/>
  <c r="H19" i="19"/>
  <c r="G19" i="19"/>
  <c r="F19" i="19"/>
  <c r="H18" i="19"/>
  <c r="G18" i="19"/>
  <c r="F18" i="19"/>
  <c r="H17" i="19"/>
  <c r="G17" i="19"/>
  <c r="F17" i="19"/>
  <c r="H16" i="19"/>
  <c r="G16" i="19"/>
  <c r="F16" i="19"/>
  <c r="H15" i="19"/>
  <c r="G15" i="19"/>
  <c r="F15" i="19"/>
  <c r="H14" i="19"/>
  <c r="G14" i="19"/>
  <c r="F14" i="19"/>
  <c r="H13" i="19"/>
  <c r="G13" i="19"/>
  <c r="F13" i="19"/>
  <c r="H12" i="19"/>
  <c r="G12" i="19"/>
  <c r="F12" i="19"/>
  <c r="J11" i="19"/>
  <c r="H11" i="19"/>
  <c r="G11" i="19"/>
  <c r="F11" i="19"/>
  <c r="H10" i="19"/>
  <c r="G10" i="19"/>
  <c r="F10" i="19"/>
  <c r="H9" i="19"/>
  <c r="G9" i="19"/>
  <c r="F9" i="19"/>
  <c r="H8" i="19"/>
  <c r="G8" i="19"/>
  <c r="F8" i="19"/>
  <c r="H7" i="19"/>
  <c r="G7" i="19"/>
  <c r="F7" i="19"/>
  <c r="H6" i="19"/>
  <c r="G6" i="19"/>
  <c r="F6" i="19"/>
  <c r="H5" i="19"/>
  <c r="G5" i="19"/>
  <c r="F5" i="19"/>
  <c r="H4" i="19"/>
  <c r="G4" i="19"/>
  <c r="F4" i="19"/>
  <c r="C1" i="19"/>
  <c r="M3" i="19" s="1"/>
  <c r="H27" i="18"/>
  <c r="G27" i="18"/>
  <c r="F27" i="18"/>
  <c r="H26" i="18"/>
  <c r="G26" i="18"/>
  <c r="F26" i="18"/>
  <c r="H25" i="18"/>
  <c r="G25" i="18"/>
  <c r="F25" i="18"/>
  <c r="H24" i="18"/>
  <c r="G24" i="18"/>
  <c r="F24" i="18"/>
  <c r="H23" i="18"/>
  <c r="G23" i="18"/>
  <c r="F23" i="18"/>
  <c r="H22" i="18"/>
  <c r="G22" i="18"/>
  <c r="F22" i="18"/>
  <c r="H21" i="18"/>
  <c r="G21" i="18"/>
  <c r="F21" i="18"/>
  <c r="H20" i="18"/>
  <c r="G20" i="18"/>
  <c r="F20" i="18"/>
  <c r="H19" i="18"/>
  <c r="G19" i="18"/>
  <c r="F19" i="18"/>
  <c r="H18" i="18"/>
  <c r="G18" i="18"/>
  <c r="F18" i="18"/>
  <c r="H17" i="18"/>
  <c r="G17" i="18"/>
  <c r="F17" i="18"/>
  <c r="H16" i="18"/>
  <c r="G16" i="18"/>
  <c r="F16" i="18"/>
  <c r="H15" i="18"/>
  <c r="G15" i="18"/>
  <c r="F15" i="18"/>
  <c r="H14" i="18"/>
  <c r="G14" i="18"/>
  <c r="F14" i="18"/>
  <c r="H13" i="18"/>
  <c r="G13" i="18"/>
  <c r="F13" i="18"/>
  <c r="H12" i="18"/>
  <c r="G12" i="18"/>
  <c r="F12" i="18"/>
  <c r="C1" i="18" s="1"/>
  <c r="J11" i="18"/>
  <c r="H11" i="18"/>
  <c r="G11" i="18"/>
  <c r="F11" i="18"/>
  <c r="H10" i="18"/>
  <c r="G10" i="18"/>
  <c r="F10" i="18"/>
  <c r="H9" i="18"/>
  <c r="G9" i="18"/>
  <c r="F9" i="18"/>
  <c r="H8" i="18"/>
  <c r="G8" i="18"/>
  <c r="F8" i="18"/>
  <c r="H7" i="18"/>
  <c r="G7" i="18"/>
  <c r="F7" i="18"/>
  <c r="H6" i="18"/>
  <c r="G6" i="18"/>
  <c r="F6" i="18"/>
  <c r="H5" i="18"/>
  <c r="G5" i="18"/>
  <c r="F5" i="18"/>
  <c r="H4" i="18"/>
  <c r="G4" i="18"/>
  <c r="F4" i="18"/>
  <c r="Q1" i="18"/>
  <c r="R1" i="18" s="1"/>
  <c r="H27" i="17"/>
  <c r="G27" i="17"/>
  <c r="F27" i="17"/>
  <c r="H26" i="17"/>
  <c r="G26" i="17"/>
  <c r="F26" i="17"/>
  <c r="H25" i="17"/>
  <c r="G25" i="17"/>
  <c r="F25" i="17"/>
  <c r="H24" i="17"/>
  <c r="G24" i="17"/>
  <c r="F24" i="17"/>
  <c r="H23" i="17"/>
  <c r="G23" i="17"/>
  <c r="F23" i="17"/>
  <c r="H22" i="17"/>
  <c r="G22" i="17"/>
  <c r="F22" i="17"/>
  <c r="H21" i="17"/>
  <c r="G21" i="17"/>
  <c r="F21" i="17"/>
  <c r="H20" i="17"/>
  <c r="G20" i="17"/>
  <c r="F20" i="17"/>
  <c r="H19" i="17"/>
  <c r="G19" i="17"/>
  <c r="F19" i="17"/>
  <c r="H18" i="17"/>
  <c r="G18" i="17"/>
  <c r="F18" i="17"/>
  <c r="H17" i="17"/>
  <c r="G17" i="17"/>
  <c r="F17" i="17"/>
  <c r="H16" i="17"/>
  <c r="G16" i="17"/>
  <c r="F16" i="17"/>
  <c r="H15" i="17"/>
  <c r="G15" i="17"/>
  <c r="F15" i="17"/>
  <c r="H14" i="17"/>
  <c r="G14" i="17"/>
  <c r="F14" i="17"/>
  <c r="H13" i="17"/>
  <c r="G13" i="17"/>
  <c r="F13" i="17"/>
  <c r="H12" i="17"/>
  <c r="G12" i="17"/>
  <c r="F12" i="17"/>
  <c r="C1" i="17" s="1"/>
  <c r="J11" i="17"/>
  <c r="H11" i="17"/>
  <c r="G11" i="17"/>
  <c r="F11" i="17"/>
  <c r="H10" i="17"/>
  <c r="G10" i="17"/>
  <c r="F10" i="17"/>
  <c r="H9" i="17"/>
  <c r="G9" i="17"/>
  <c r="F9" i="17"/>
  <c r="H8" i="17"/>
  <c r="G8" i="17"/>
  <c r="F8" i="17"/>
  <c r="H7" i="17"/>
  <c r="G7" i="17"/>
  <c r="F7" i="17"/>
  <c r="H6" i="17"/>
  <c r="G6" i="17"/>
  <c r="F6" i="17"/>
  <c r="H5" i="17"/>
  <c r="G5" i="17"/>
  <c r="F5" i="17"/>
  <c r="H4" i="17"/>
  <c r="G4" i="17"/>
  <c r="F4" i="17"/>
  <c r="Q1" i="17"/>
  <c r="R1" i="17" s="1"/>
  <c r="H27" i="16"/>
  <c r="G27" i="16"/>
  <c r="F27" i="16"/>
  <c r="H26" i="16"/>
  <c r="G26" i="16"/>
  <c r="F26" i="16"/>
  <c r="H25" i="16"/>
  <c r="G25" i="16"/>
  <c r="F25" i="16"/>
  <c r="H24" i="16"/>
  <c r="G24" i="16"/>
  <c r="F24" i="16"/>
  <c r="H23" i="16"/>
  <c r="G23" i="16"/>
  <c r="F23" i="16"/>
  <c r="H22" i="16"/>
  <c r="G22" i="16"/>
  <c r="F22" i="16"/>
  <c r="H21" i="16"/>
  <c r="G21" i="16"/>
  <c r="F21" i="16"/>
  <c r="H20" i="16"/>
  <c r="G20" i="16"/>
  <c r="F20" i="16"/>
  <c r="H19" i="16"/>
  <c r="G19" i="16"/>
  <c r="F19" i="16"/>
  <c r="H18" i="16"/>
  <c r="G18" i="16"/>
  <c r="F18" i="16"/>
  <c r="H17" i="16"/>
  <c r="G17" i="16"/>
  <c r="F17" i="16"/>
  <c r="H16" i="16"/>
  <c r="G16" i="16"/>
  <c r="F16" i="16"/>
  <c r="H15" i="16"/>
  <c r="G15" i="16"/>
  <c r="F15" i="16"/>
  <c r="H14" i="16"/>
  <c r="G14" i="16"/>
  <c r="F14" i="16"/>
  <c r="H13" i="16"/>
  <c r="G13" i="16"/>
  <c r="F13" i="16"/>
  <c r="H12" i="16"/>
  <c r="G12" i="16"/>
  <c r="F12" i="16"/>
  <c r="J11" i="16"/>
  <c r="H11" i="16"/>
  <c r="G11" i="16"/>
  <c r="F11" i="16"/>
  <c r="H10" i="16"/>
  <c r="G10" i="16"/>
  <c r="F10" i="16"/>
  <c r="H9" i="16"/>
  <c r="G9" i="16"/>
  <c r="F9" i="16"/>
  <c r="H8" i="16"/>
  <c r="G8" i="16"/>
  <c r="F8" i="16"/>
  <c r="H7" i="16"/>
  <c r="G7" i="16"/>
  <c r="F7" i="16"/>
  <c r="H6" i="16"/>
  <c r="G6" i="16"/>
  <c r="F6" i="16"/>
  <c r="H5" i="16"/>
  <c r="G5" i="16"/>
  <c r="F5" i="16"/>
  <c r="H4" i="16"/>
  <c r="G4" i="16"/>
  <c r="F4" i="16"/>
  <c r="R1" i="16"/>
  <c r="Q1" i="16"/>
  <c r="P1" i="16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C1" i="15" s="1"/>
  <c r="H12" i="15"/>
  <c r="G12" i="15"/>
  <c r="F12" i="15"/>
  <c r="J11" i="15"/>
  <c r="H11" i="15"/>
  <c r="G11" i="15"/>
  <c r="F11" i="15"/>
  <c r="H10" i="15"/>
  <c r="G10" i="15"/>
  <c r="F10" i="15"/>
  <c r="H9" i="15"/>
  <c r="G9" i="15"/>
  <c r="F9" i="15"/>
  <c r="H8" i="15"/>
  <c r="G8" i="15"/>
  <c r="F8" i="15"/>
  <c r="H7" i="15"/>
  <c r="G7" i="15"/>
  <c r="F7" i="15"/>
  <c r="H6" i="15"/>
  <c r="G6" i="15"/>
  <c r="F6" i="15"/>
  <c r="H5" i="15"/>
  <c r="G5" i="15"/>
  <c r="F5" i="15"/>
  <c r="H4" i="15"/>
  <c r="G4" i="15"/>
  <c r="F4" i="15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18" i="14"/>
  <c r="G18" i="14"/>
  <c r="F18" i="14"/>
  <c r="H17" i="14"/>
  <c r="G17" i="14"/>
  <c r="F17" i="14"/>
  <c r="H16" i="14"/>
  <c r="G16" i="14"/>
  <c r="F16" i="14"/>
  <c r="H15" i="14"/>
  <c r="G15" i="14"/>
  <c r="F15" i="14"/>
  <c r="H14" i="14"/>
  <c r="G14" i="14"/>
  <c r="F14" i="14"/>
  <c r="H13" i="14"/>
  <c r="G13" i="14"/>
  <c r="F13" i="14"/>
  <c r="H12" i="14"/>
  <c r="G12" i="14"/>
  <c r="F12" i="14"/>
  <c r="J11" i="14"/>
  <c r="H11" i="14"/>
  <c r="G11" i="14"/>
  <c r="F11" i="14"/>
  <c r="H10" i="14"/>
  <c r="G10" i="14"/>
  <c r="F10" i="14"/>
  <c r="H9" i="14"/>
  <c r="G9" i="14"/>
  <c r="F9" i="14"/>
  <c r="H8" i="14"/>
  <c r="G8" i="14"/>
  <c r="F8" i="14"/>
  <c r="H7" i="14"/>
  <c r="G7" i="14"/>
  <c r="F7" i="14"/>
  <c r="H6" i="14"/>
  <c r="G6" i="14"/>
  <c r="F6" i="14"/>
  <c r="H5" i="14"/>
  <c r="G5" i="14"/>
  <c r="F5" i="14"/>
  <c r="C1" i="14" s="1"/>
  <c r="C26" i="39" s="1"/>
  <c r="F26" i="39" s="1"/>
  <c r="H4" i="14"/>
  <c r="G4" i="14"/>
  <c r="F4" i="14"/>
  <c r="H27" i="13"/>
  <c r="G27" i="13"/>
  <c r="F27" i="13"/>
  <c r="H26" i="13"/>
  <c r="G26" i="13"/>
  <c r="F26" i="13"/>
  <c r="H25" i="13"/>
  <c r="G25" i="13"/>
  <c r="F25" i="13"/>
  <c r="H24" i="13"/>
  <c r="G24" i="13"/>
  <c r="F24" i="13"/>
  <c r="H23" i="13"/>
  <c r="G23" i="13"/>
  <c r="F23" i="13"/>
  <c r="H22" i="13"/>
  <c r="G22" i="13"/>
  <c r="F22" i="13"/>
  <c r="H21" i="13"/>
  <c r="G21" i="13"/>
  <c r="F21" i="13"/>
  <c r="H20" i="13"/>
  <c r="G20" i="13"/>
  <c r="F20" i="13"/>
  <c r="H19" i="13"/>
  <c r="G19" i="13"/>
  <c r="F19" i="13"/>
  <c r="H18" i="13"/>
  <c r="G18" i="13"/>
  <c r="F18" i="13"/>
  <c r="H17" i="13"/>
  <c r="G17" i="13"/>
  <c r="F17" i="13"/>
  <c r="H16" i="13"/>
  <c r="G16" i="13"/>
  <c r="F16" i="13"/>
  <c r="H15" i="13"/>
  <c r="G15" i="13"/>
  <c r="F15" i="13"/>
  <c r="H14" i="13"/>
  <c r="G14" i="13"/>
  <c r="F14" i="13"/>
  <c r="H13" i="13"/>
  <c r="G13" i="13"/>
  <c r="F13" i="13"/>
  <c r="H12" i="13"/>
  <c r="G12" i="13"/>
  <c r="F12" i="13"/>
  <c r="J11" i="13"/>
  <c r="H11" i="13"/>
  <c r="G11" i="13"/>
  <c r="F11" i="13"/>
  <c r="H10" i="13"/>
  <c r="G10" i="13"/>
  <c r="F10" i="13"/>
  <c r="H9" i="13"/>
  <c r="G9" i="13"/>
  <c r="F9" i="13"/>
  <c r="H8" i="13"/>
  <c r="G8" i="13"/>
  <c r="F8" i="13"/>
  <c r="H7" i="13"/>
  <c r="G7" i="13"/>
  <c r="F7" i="13"/>
  <c r="H6" i="13"/>
  <c r="G6" i="13"/>
  <c r="F6" i="13"/>
  <c r="H5" i="13"/>
  <c r="G5" i="13"/>
  <c r="F5" i="13"/>
  <c r="H4" i="13"/>
  <c r="G4" i="13"/>
  <c r="F4" i="13"/>
  <c r="Q1" i="13"/>
  <c r="R1" i="13" s="1"/>
  <c r="H27" i="12"/>
  <c r="G27" i="12"/>
  <c r="F27" i="12"/>
  <c r="H26" i="12"/>
  <c r="G26" i="12"/>
  <c r="F26" i="12"/>
  <c r="H25" i="12"/>
  <c r="G25" i="12"/>
  <c r="F25" i="12"/>
  <c r="H24" i="12"/>
  <c r="G24" i="12"/>
  <c r="F24" i="12"/>
  <c r="H23" i="12"/>
  <c r="G23" i="12"/>
  <c r="F23" i="12"/>
  <c r="H22" i="12"/>
  <c r="G22" i="12"/>
  <c r="F22" i="12"/>
  <c r="H21" i="12"/>
  <c r="G21" i="12"/>
  <c r="F21" i="12"/>
  <c r="H20" i="12"/>
  <c r="G20" i="12"/>
  <c r="F20" i="12"/>
  <c r="H19" i="12"/>
  <c r="G19" i="12"/>
  <c r="F19" i="12"/>
  <c r="H18" i="12"/>
  <c r="G18" i="12"/>
  <c r="F18" i="12"/>
  <c r="H17" i="12"/>
  <c r="G17" i="12"/>
  <c r="F17" i="12"/>
  <c r="H16" i="12"/>
  <c r="G16" i="12"/>
  <c r="F16" i="12"/>
  <c r="H15" i="12"/>
  <c r="G15" i="12"/>
  <c r="F15" i="12"/>
  <c r="H14" i="12"/>
  <c r="G14" i="12"/>
  <c r="F14" i="12"/>
  <c r="H13" i="12"/>
  <c r="G13" i="12"/>
  <c r="F13" i="12"/>
  <c r="H12" i="12"/>
  <c r="G12" i="12"/>
  <c r="F12" i="12"/>
  <c r="J11" i="12"/>
  <c r="H11" i="12"/>
  <c r="G11" i="12"/>
  <c r="F11" i="12"/>
  <c r="H10" i="12"/>
  <c r="G10" i="12"/>
  <c r="F10" i="12"/>
  <c r="H9" i="12"/>
  <c r="G9" i="12"/>
  <c r="F9" i="12"/>
  <c r="H8" i="12"/>
  <c r="G8" i="12"/>
  <c r="F8" i="12"/>
  <c r="H7" i="12"/>
  <c r="G7" i="12"/>
  <c r="F7" i="12"/>
  <c r="H6" i="12"/>
  <c r="G6" i="12"/>
  <c r="F6" i="12"/>
  <c r="C1" i="12" s="1"/>
  <c r="C8" i="39" s="1"/>
  <c r="F8" i="39" s="1"/>
  <c r="H5" i="12"/>
  <c r="G5" i="12"/>
  <c r="F5" i="12"/>
  <c r="H4" i="12"/>
  <c r="G4" i="12"/>
  <c r="F4" i="12"/>
  <c r="L3" i="12" s="1"/>
  <c r="H27" i="11"/>
  <c r="G27" i="11"/>
  <c r="F27" i="11"/>
  <c r="H26" i="11"/>
  <c r="G26" i="11"/>
  <c r="F26" i="11"/>
  <c r="H25" i="11"/>
  <c r="G25" i="11"/>
  <c r="F25" i="11"/>
  <c r="H24" i="11"/>
  <c r="G24" i="11"/>
  <c r="F24" i="11"/>
  <c r="H23" i="11"/>
  <c r="G23" i="11"/>
  <c r="F23" i="11"/>
  <c r="H22" i="11"/>
  <c r="G22" i="11"/>
  <c r="F22" i="11"/>
  <c r="H21" i="11"/>
  <c r="G21" i="11"/>
  <c r="F21" i="11"/>
  <c r="H20" i="11"/>
  <c r="G20" i="11"/>
  <c r="F20" i="11"/>
  <c r="H19" i="11"/>
  <c r="G19" i="11"/>
  <c r="F19" i="11"/>
  <c r="H18" i="11"/>
  <c r="G18" i="11"/>
  <c r="F18" i="11"/>
  <c r="H17" i="11"/>
  <c r="G17" i="11"/>
  <c r="F17" i="11"/>
  <c r="H16" i="11"/>
  <c r="G16" i="11"/>
  <c r="F16" i="11"/>
  <c r="H15" i="11"/>
  <c r="G15" i="11"/>
  <c r="F15" i="11"/>
  <c r="H14" i="11"/>
  <c r="G14" i="11"/>
  <c r="F14" i="11"/>
  <c r="H13" i="11"/>
  <c r="G13" i="11"/>
  <c r="F13" i="11"/>
  <c r="H12" i="11"/>
  <c r="G12" i="11"/>
  <c r="F12" i="11"/>
  <c r="J11" i="11"/>
  <c r="H11" i="11"/>
  <c r="G11" i="11"/>
  <c r="F11" i="11"/>
  <c r="H10" i="11"/>
  <c r="G10" i="11"/>
  <c r="F10" i="11"/>
  <c r="H9" i="11"/>
  <c r="G9" i="11"/>
  <c r="F9" i="11"/>
  <c r="H8" i="11"/>
  <c r="G8" i="11"/>
  <c r="F8" i="11"/>
  <c r="H7" i="11"/>
  <c r="G7" i="11"/>
  <c r="F7" i="11"/>
  <c r="H6" i="11"/>
  <c r="G6" i="11"/>
  <c r="F6" i="11"/>
  <c r="H5" i="11"/>
  <c r="G5" i="11"/>
  <c r="F5" i="11"/>
  <c r="H4" i="11"/>
  <c r="G4" i="11"/>
  <c r="F4" i="11"/>
  <c r="R1" i="11"/>
  <c r="Q1" i="11"/>
  <c r="P1" i="11" s="1"/>
  <c r="H27" i="10"/>
  <c r="G27" i="10"/>
  <c r="F27" i="10"/>
  <c r="H26" i="10"/>
  <c r="G26" i="10"/>
  <c r="F26" i="10"/>
  <c r="H25" i="10"/>
  <c r="G25" i="10"/>
  <c r="F25" i="10"/>
  <c r="H24" i="10"/>
  <c r="G24" i="10"/>
  <c r="F24" i="10"/>
  <c r="H23" i="10"/>
  <c r="G23" i="10"/>
  <c r="F23" i="10"/>
  <c r="H22" i="10"/>
  <c r="G22" i="10"/>
  <c r="F22" i="10"/>
  <c r="H21" i="10"/>
  <c r="G21" i="10"/>
  <c r="F21" i="10"/>
  <c r="H20" i="10"/>
  <c r="G20" i="10"/>
  <c r="F20" i="10"/>
  <c r="H19" i="10"/>
  <c r="G19" i="10"/>
  <c r="F19" i="10"/>
  <c r="H18" i="10"/>
  <c r="G18" i="10"/>
  <c r="F18" i="10"/>
  <c r="H17" i="10"/>
  <c r="G17" i="10"/>
  <c r="F17" i="10"/>
  <c r="H16" i="10"/>
  <c r="G16" i="10"/>
  <c r="F16" i="10"/>
  <c r="H15" i="10"/>
  <c r="G15" i="10"/>
  <c r="F15" i="10"/>
  <c r="H14" i="10"/>
  <c r="G14" i="10"/>
  <c r="F14" i="10"/>
  <c r="H13" i="10"/>
  <c r="G13" i="10"/>
  <c r="F13" i="10"/>
  <c r="H12" i="10"/>
  <c r="G12" i="10"/>
  <c r="F12" i="10"/>
  <c r="J11" i="10"/>
  <c r="H11" i="10"/>
  <c r="G11" i="10"/>
  <c r="F11" i="10"/>
  <c r="H10" i="10"/>
  <c r="G10" i="10"/>
  <c r="F10" i="10"/>
  <c r="H9" i="10"/>
  <c r="G9" i="10"/>
  <c r="F9" i="10"/>
  <c r="H8" i="10"/>
  <c r="G8" i="10"/>
  <c r="F8" i="10"/>
  <c r="H7" i="10"/>
  <c r="G7" i="10"/>
  <c r="F7" i="10"/>
  <c r="H6" i="10"/>
  <c r="G6" i="10"/>
  <c r="F6" i="10"/>
  <c r="H5" i="10"/>
  <c r="G5" i="10"/>
  <c r="F5" i="10"/>
  <c r="C1" i="10" s="1"/>
  <c r="C20" i="39" s="1"/>
  <c r="F20" i="39" s="1"/>
  <c r="H4" i="10"/>
  <c r="G4" i="10"/>
  <c r="F4" i="10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4" i="9"/>
  <c r="F5" i="9"/>
  <c r="F6" i="9"/>
  <c r="F7" i="9"/>
  <c r="F8" i="9"/>
  <c r="F9" i="9"/>
  <c r="L3" i="9" s="1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4" i="7"/>
  <c r="F5" i="7"/>
  <c r="F6" i="7"/>
  <c r="F7" i="7"/>
  <c r="F8" i="7"/>
  <c r="F9" i="7"/>
  <c r="F10" i="7"/>
  <c r="F11" i="7"/>
  <c r="F12" i="7"/>
  <c r="L3" i="7" s="1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4" i="8"/>
  <c r="F5" i="8"/>
  <c r="F6" i="8"/>
  <c r="F7" i="8"/>
  <c r="F8" i="8"/>
  <c r="F9" i="8"/>
  <c r="F10" i="8"/>
  <c r="F11" i="8"/>
  <c r="F12" i="8"/>
  <c r="L3" i="8" s="1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J11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R1" i="9"/>
  <c r="Q1" i="9"/>
  <c r="P1" i="9"/>
  <c r="C1" i="9"/>
  <c r="M3" i="9" s="1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J11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R1" i="8"/>
  <c r="Q1" i="8"/>
  <c r="P1" i="8"/>
  <c r="C1" i="8"/>
  <c r="M3" i="8" s="1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J11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R1" i="7"/>
  <c r="Q1" i="7"/>
  <c r="P1" i="7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J11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R1" i="6"/>
  <c r="Q1" i="6"/>
  <c r="P1" i="6"/>
  <c r="C1" i="6"/>
  <c r="M3" i="6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Q1" i="5"/>
  <c r="R1" i="5" s="1"/>
  <c r="P1" i="5"/>
  <c r="C1" i="5"/>
  <c r="M3" i="5" s="1"/>
  <c r="J11" i="4"/>
  <c r="Q1" i="4"/>
  <c r="R1" i="4" s="1"/>
  <c r="C1" i="4"/>
  <c r="M3" i="4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J11" i="3"/>
  <c r="Q1" i="3"/>
  <c r="R1" i="3" s="1"/>
  <c r="C1" i="3"/>
  <c r="M3" i="3" s="1"/>
  <c r="J11" i="2"/>
  <c r="Q1" i="2"/>
  <c r="R1" i="2" s="1"/>
  <c r="C1" i="2"/>
  <c r="M3" i="2" s="1"/>
  <c r="J11" i="1"/>
  <c r="Q1" i="1"/>
  <c r="R1" i="1" s="1"/>
  <c r="L3" i="28" l="1"/>
  <c r="C1" i="30"/>
  <c r="C39" i="39" s="1"/>
  <c r="F39" i="39" s="1"/>
  <c r="L3" i="30"/>
  <c r="L3" i="14"/>
  <c r="C1" i="23"/>
  <c r="C9" i="39" s="1"/>
  <c r="F9" i="39" s="1"/>
  <c r="P1" i="30"/>
  <c r="H15" i="34"/>
  <c r="G15" i="34"/>
  <c r="R1" i="35"/>
  <c r="P1" i="35"/>
  <c r="R1" i="26"/>
  <c r="P1" i="28"/>
  <c r="P1" i="17"/>
  <c r="R1" i="33"/>
  <c r="P1" i="29"/>
  <c r="R1" i="24"/>
  <c r="P1" i="14"/>
  <c r="R1" i="10"/>
  <c r="P1" i="25"/>
  <c r="P1" i="31"/>
  <c r="P1" i="23"/>
  <c r="R1" i="12"/>
  <c r="P1" i="32"/>
  <c r="C1" i="32"/>
  <c r="C1" i="33"/>
  <c r="C1" i="28"/>
  <c r="P1" i="36"/>
  <c r="C1" i="36"/>
  <c r="L3" i="34"/>
  <c r="C1" i="34"/>
  <c r="L3" i="36"/>
  <c r="C1" i="37"/>
  <c r="P1" i="37"/>
  <c r="L3" i="37"/>
  <c r="M3" i="35"/>
  <c r="F1" i="35"/>
  <c r="E1" i="35"/>
  <c r="L3" i="35"/>
  <c r="P1" i="34"/>
  <c r="L3" i="33"/>
  <c r="L3" i="32"/>
  <c r="M3" i="31"/>
  <c r="E1" i="31"/>
  <c r="F1" i="31"/>
  <c r="L3" i="31"/>
  <c r="L3" i="29"/>
  <c r="M3" i="29"/>
  <c r="F1" i="29"/>
  <c r="E1" i="29"/>
  <c r="M3" i="27"/>
  <c r="F1" i="27"/>
  <c r="E1" i="27"/>
  <c r="P1" i="27"/>
  <c r="M3" i="26"/>
  <c r="F1" i="26"/>
  <c r="E1" i="26"/>
  <c r="L3" i="26"/>
  <c r="C1" i="25"/>
  <c r="L3" i="25"/>
  <c r="C1" i="22"/>
  <c r="P1" i="22"/>
  <c r="M3" i="24"/>
  <c r="E1" i="24"/>
  <c r="F1" i="24"/>
  <c r="M1" i="24" s="1"/>
  <c r="L3" i="24"/>
  <c r="L3" i="13"/>
  <c r="C1" i="13"/>
  <c r="E1" i="13" s="1"/>
  <c r="L3" i="23"/>
  <c r="L3" i="22"/>
  <c r="L3" i="19"/>
  <c r="L3" i="21"/>
  <c r="M3" i="21"/>
  <c r="F1" i="21"/>
  <c r="M1" i="21" s="1"/>
  <c r="E1" i="21"/>
  <c r="C1" i="16"/>
  <c r="E1" i="16" s="1"/>
  <c r="M3" i="20"/>
  <c r="F1" i="20"/>
  <c r="M1" i="20" s="1"/>
  <c r="E1" i="20"/>
  <c r="L3" i="20"/>
  <c r="F1" i="19"/>
  <c r="M1" i="19" s="1"/>
  <c r="N1" i="19" s="1"/>
  <c r="E1" i="19"/>
  <c r="P1" i="19"/>
  <c r="L3" i="18"/>
  <c r="M3" i="18"/>
  <c r="F1" i="18"/>
  <c r="M1" i="18" s="1"/>
  <c r="E1" i="18"/>
  <c r="P1" i="18"/>
  <c r="E1" i="17"/>
  <c r="M3" i="17"/>
  <c r="F1" i="17"/>
  <c r="M1" i="17" s="1"/>
  <c r="L3" i="17"/>
  <c r="L3" i="16"/>
  <c r="L3" i="15"/>
  <c r="M3" i="15"/>
  <c r="F1" i="15"/>
  <c r="M1" i="15" s="1"/>
  <c r="E1" i="15"/>
  <c r="P1" i="15"/>
  <c r="M3" i="14"/>
  <c r="F1" i="14"/>
  <c r="E1" i="14"/>
  <c r="P1" i="13"/>
  <c r="M3" i="12"/>
  <c r="F1" i="12"/>
  <c r="E1" i="12"/>
  <c r="C1" i="11"/>
  <c r="M3" i="11" s="1"/>
  <c r="L3" i="11"/>
  <c r="L3" i="3"/>
  <c r="M3" i="10"/>
  <c r="F1" i="10"/>
  <c r="E1" i="10"/>
  <c r="L3" i="10"/>
  <c r="C1" i="7"/>
  <c r="M3" i="7" s="1"/>
  <c r="E1" i="9"/>
  <c r="F1" i="9"/>
  <c r="M1" i="9" s="1"/>
  <c r="L3" i="6"/>
  <c r="E1" i="8"/>
  <c r="F1" i="8"/>
  <c r="M1" i="8" s="1"/>
  <c r="L3" i="5"/>
  <c r="L3" i="2"/>
  <c r="L3" i="4"/>
  <c r="E1" i="6"/>
  <c r="F1" i="6"/>
  <c r="M1" i="6" s="1"/>
  <c r="L3" i="1"/>
  <c r="E1" i="5"/>
  <c r="F1" i="5"/>
  <c r="M1" i="5" s="1"/>
  <c r="E1" i="4"/>
  <c r="F1" i="4"/>
  <c r="M1" i="4" s="1"/>
  <c r="P1" i="4"/>
  <c r="C1" i="1"/>
  <c r="M3" i="1" s="1"/>
  <c r="P1" i="2"/>
  <c r="E1" i="3"/>
  <c r="P1" i="3"/>
  <c r="F1" i="3"/>
  <c r="M1" i="3" s="1"/>
  <c r="E1" i="2"/>
  <c r="F1" i="2"/>
  <c r="M1" i="2" s="1"/>
  <c r="P1" i="1"/>
  <c r="M1" i="29" l="1"/>
  <c r="L1" i="29" s="1"/>
  <c r="D31" i="39"/>
  <c r="M3" i="28"/>
  <c r="C38" i="39"/>
  <c r="F38" i="39" s="1"/>
  <c r="M1" i="27"/>
  <c r="D21" i="39"/>
  <c r="M1" i="26"/>
  <c r="N1" i="26" s="1"/>
  <c r="D32" i="39"/>
  <c r="F1" i="30"/>
  <c r="E1" i="30"/>
  <c r="M3" i="30"/>
  <c r="M3" i="25"/>
  <c r="C18" i="39"/>
  <c r="F18" i="39" s="1"/>
  <c r="M1" i="14"/>
  <c r="D26" i="39"/>
  <c r="M1" i="35"/>
  <c r="L1" i="35" s="1"/>
  <c r="D35" i="39"/>
  <c r="M1" i="31"/>
  <c r="D15" i="39"/>
  <c r="E1" i="23"/>
  <c r="M3" i="23"/>
  <c r="F1" i="23"/>
  <c r="M1" i="23" s="1"/>
  <c r="L1" i="23" s="1"/>
  <c r="F1" i="33"/>
  <c r="C34" i="39"/>
  <c r="F34" i="39" s="1"/>
  <c r="E1" i="32"/>
  <c r="C11" i="39"/>
  <c r="F11" i="39" s="1"/>
  <c r="M3" i="37"/>
  <c r="C28" i="39"/>
  <c r="F28" i="39" s="1"/>
  <c r="M1" i="10"/>
  <c r="N1" i="10" s="1"/>
  <c r="D20" i="39"/>
  <c r="E1" i="34"/>
  <c r="C13" i="39"/>
  <c r="F13" i="39" s="1"/>
  <c r="F1" i="22"/>
  <c r="C10" i="39"/>
  <c r="F10" i="39" s="1"/>
  <c r="M1" i="12"/>
  <c r="D8" i="39"/>
  <c r="E1" i="36"/>
  <c r="C5" i="39"/>
  <c r="F5" i="39" s="1"/>
  <c r="F1" i="32"/>
  <c r="M3" i="32"/>
  <c r="M3" i="33"/>
  <c r="E1" i="33"/>
  <c r="E1" i="28"/>
  <c r="F1" i="28"/>
  <c r="M3" i="36"/>
  <c r="F1" i="36"/>
  <c r="M3" i="34"/>
  <c r="F1" i="34"/>
  <c r="E1" i="37"/>
  <c r="F1" i="37"/>
  <c r="G1" i="35"/>
  <c r="G35" i="39" s="1"/>
  <c r="L1" i="31"/>
  <c r="N1" i="31"/>
  <c r="G1" i="31"/>
  <c r="G15" i="39" s="1"/>
  <c r="G1" i="29"/>
  <c r="G31" i="39" s="1"/>
  <c r="N1" i="27"/>
  <c r="L1" i="27"/>
  <c r="G1" i="27"/>
  <c r="G21" i="39" s="1"/>
  <c r="L1" i="26"/>
  <c r="G1" i="26"/>
  <c r="G32" i="39" s="1"/>
  <c r="F1" i="25"/>
  <c r="E1" i="25"/>
  <c r="M3" i="22"/>
  <c r="E1" i="22"/>
  <c r="L1" i="24"/>
  <c r="N1" i="24"/>
  <c r="G1" i="24"/>
  <c r="G27" i="39" s="1"/>
  <c r="F1" i="13"/>
  <c r="M1" i="13" s="1"/>
  <c r="L1" i="13" s="1"/>
  <c r="M3" i="13"/>
  <c r="G1" i="21"/>
  <c r="L1" i="21"/>
  <c r="N1" i="21"/>
  <c r="F1" i="16"/>
  <c r="M1" i="16" s="1"/>
  <c r="N1" i="16" s="1"/>
  <c r="M3" i="16"/>
  <c r="N1" i="20"/>
  <c r="L1" i="20"/>
  <c r="G1" i="20"/>
  <c r="G1" i="19"/>
  <c r="G37" i="39" s="1"/>
  <c r="L1" i="19"/>
  <c r="L1" i="18"/>
  <c r="N1" i="18"/>
  <c r="G1" i="18"/>
  <c r="N1" i="17"/>
  <c r="L1" i="17"/>
  <c r="G1" i="17"/>
  <c r="G36" i="39" s="1"/>
  <c r="L1" i="15"/>
  <c r="N1" i="15"/>
  <c r="G1" i="15"/>
  <c r="G22" i="39" s="1"/>
  <c r="L1" i="14"/>
  <c r="N1" i="14"/>
  <c r="G1" i="14"/>
  <c r="G26" i="39" s="1"/>
  <c r="G1" i="13"/>
  <c r="G1" i="12"/>
  <c r="G8" i="39" s="1"/>
  <c r="N1" i="12"/>
  <c r="L1" i="12"/>
  <c r="E1" i="11"/>
  <c r="F1" i="11"/>
  <c r="M1" i="11" s="1"/>
  <c r="N1" i="11" s="1"/>
  <c r="G1" i="11"/>
  <c r="G1" i="10"/>
  <c r="G20" i="39" s="1"/>
  <c r="F1" i="7"/>
  <c r="M1" i="7" s="1"/>
  <c r="L1" i="7" s="1"/>
  <c r="E1" i="7"/>
  <c r="G1" i="9"/>
  <c r="N1" i="9"/>
  <c r="L1" i="9"/>
  <c r="L1" i="8"/>
  <c r="N1" i="8"/>
  <c r="G1" i="8"/>
  <c r="G1" i="7"/>
  <c r="N1" i="6"/>
  <c r="L1" i="6"/>
  <c r="G1" i="6"/>
  <c r="N1" i="5"/>
  <c r="L1" i="5"/>
  <c r="G1" i="5"/>
  <c r="L1" i="4"/>
  <c r="N1" i="4"/>
  <c r="G1" i="4"/>
  <c r="G1" i="2"/>
  <c r="G1" i="3"/>
  <c r="F1" i="1"/>
  <c r="M1" i="1" s="1"/>
  <c r="L1" i="1" s="1"/>
  <c r="E1" i="1"/>
  <c r="N1" i="3"/>
  <c r="L1" i="3"/>
  <c r="N1" i="2"/>
  <c r="L1" i="2"/>
  <c r="N1" i="35" l="1"/>
  <c r="N1" i="29"/>
  <c r="M1" i="28"/>
  <c r="L1" i="28" s="1"/>
  <c r="D38" i="39"/>
  <c r="G1" i="30"/>
  <c r="G39" i="39" s="1"/>
  <c r="D39" i="39"/>
  <c r="M1" i="30"/>
  <c r="M1" i="25"/>
  <c r="L1" i="25" s="1"/>
  <c r="D18" i="39"/>
  <c r="D9" i="39"/>
  <c r="G1" i="23"/>
  <c r="G9" i="39" s="1"/>
  <c r="G1" i="33"/>
  <c r="G34" i="39" s="1"/>
  <c r="N1" i="23"/>
  <c r="M1" i="33"/>
  <c r="D34" i="39"/>
  <c r="L1" i="10"/>
  <c r="M1" i="32"/>
  <c r="N1" i="32" s="1"/>
  <c r="D11" i="39"/>
  <c r="G1" i="22"/>
  <c r="G10" i="39" s="1"/>
  <c r="M1" i="37"/>
  <c r="L1" i="37" s="1"/>
  <c r="D28" i="39"/>
  <c r="M1" i="34"/>
  <c r="N1" i="34" s="1"/>
  <c r="D13" i="39"/>
  <c r="K4" i="39"/>
  <c r="K6" i="39" s="1"/>
  <c r="M1" i="22"/>
  <c r="D10" i="39"/>
  <c r="M1" i="36"/>
  <c r="L1" i="36" s="1"/>
  <c r="D5" i="39"/>
  <c r="G1" i="32"/>
  <c r="G11" i="39" s="1"/>
  <c r="L1" i="32"/>
  <c r="G1" i="28"/>
  <c r="G38" i="39" s="1"/>
  <c r="N1" i="28"/>
  <c r="G1" i="36"/>
  <c r="G5" i="39" s="1"/>
  <c r="G1" i="34"/>
  <c r="G13" i="39" s="1"/>
  <c r="G1" i="37"/>
  <c r="G28" i="39" s="1"/>
  <c r="G1" i="25"/>
  <c r="G18" i="39" s="1"/>
  <c r="N1" i="25"/>
  <c r="N1" i="13"/>
  <c r="G1" i="16"/>
  <c r="L1" i="16"/>
  <c r="L1" i="11"/>
  <c r="N1" i="7"/>
  <c r="G1" i="1"/>
  <c r="N1" i="1"/>
  <c r="N1" i="30" l="1"/>
  <c r="L1" i="30"/>
  <c r="L1" i="33"/>
  <c r="N1" i="33"/>
  <c r="N1" i="37"/>
  <c r="N1" i="36"/>
  <c r="L1" i="34"/>
  <c r="L1" i="22"/>
  <c r="N1" i="22"/>
</calcChain>
</file>

<file path=xl/sharedStrings.xml><?xml version="1.0" encoding="utf-8"?>
<sst xmlns="http://schemas.openxmlformats.org/spreadsheetml/2006/main" count="346" uniqueCount="57">
  <si>
    <t>ANA SAYFA</t>
  </si>
  <si>
    <t>TARİH</t>
  </si>
  <si>
    <t>ADET</t>
  </si>
  <si>
    <t>ALIŞ</t>
  </si>
  <si>
    <t>SATIŞ</t>
  </si>
  <si>
    <t>KAR</t>
  </si>
  <si>
    <t>ALIŞ TUTAR</t>
  </si>
  <si>
    <t>SATIŞ TUTAR</t>
  </si>
  <si>
    <t>HİSSE</t>
  </si>
  <si>
    <t>MALİYET</t>
  </si>
  <si>
    <t>FİYAT</t>
  </si>
  <si>
    <t>GÜNCEL TUTAT</t>
  </si>
  <si>
    <t>KAR/ZARAR</t>
  </si>
  <si>
    <t>Toplam Yatırım</t>
  </si>
  <si>
    <t>Anlık Değer</t>
  </si>
  <si>
    <t>Nakit</t>
  </si>
  <si>
    <t xml:space="preserve">Kar </t>
  </si>
  <si>
    <t>USD</t>
  </si>
  <si>
    <t>TL</t>
  </si>
  <si>
    <t>MIDAS</t>
  </si>
  <si>
    <t>AAPL</t>
  </si>
  <si>
    <t>ADD</t>
  </si>
  <si>
    <t>AMD</t>
  </si>
  <si>
    <t>AMTX</t>
  </si>
  <si>
    <t>AMZN</t>
  </si>
  <si>
    <t>ASAP</t>
  </si>
  <si>
    <t>BBIO</t>
  </si>
  <si>
    <t>BKCH</t>
  </si>
  <si>
    <t>CAH</t>
  </si>
  <si>
    <t>CLM</t>
  </si>
  <si>
    <t>COIN</t>
  </si>
  <si>
    <t>FANG</t>
  </si>
  <si>
    <t>FNGS</t>
  </si>
  <si>
    <t>FORD</t>
  </si>
  <si>
    <t>GDRX</t>
  </si>
  <si>
    <t>GE</t>
  </si>
  <si>
    <t>GNLN</t>
  </si>
  <si>
    <t>JEPI</t>
  </si>
  <si>
    <t>HEPS</t>
  </si>
  <si>
    <t>KHC</t>
  </si>
  <si>
    <t>MDT</t>
  </si>
  <si>
    <t>NIO</t>
  </si>
  <si>
    <t>NKLA</t>
  </si>
  <si>
    <t>NVDA</t>
  </si>
  <si>
    <t>ORCL</t>
  </si>
  <si>
    <t>PTRCY</t>
  </si>
  <si>
    <t>SCDH</t>
  </si>
  <si>
    <t>SPYI</t>
  </si>
  <si>
    <t>SQ</t>
  </si>
  <si>
    <t>GOOGL</t>
  </si>
  <si>
    <t>NAMS</t>
  </si>
  <si>
    <t>TSLA</t>
  </si>
  <si>
    <t>TUR</t>
  </si>
  <si>
    <t>UAL</t>
  </si>
  <si>
    <t>UPS</t>
  </si>
  <si>
    <t>VIG</t>
  </si>
  <si>
    <t>VUG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</si>
</sst>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* #,##0.00_-&quot;₺&quot;;\-* #,##0.00_-&quot;₺&quot;;_-&quot;₺&quot;* &quot;-&quot;??_-;_-@_-"/>
    <numFmt numFmtId="165" formatCode="_ * #,##0.00_ \ [$$-C0C]_ ;_ * \-#,##0.00\ \ [$$-C0C]_ ;_ * &quot;-&quot;??_ \ [$$-C0C]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3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9" fontId="0" fillId="0" borderId="0" xfId="2" applyFont="1"/>
    <xf numFmtId="4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44" fontId="0" fillId="0" borderId="0" xfId="1" applyFont="1" applyAlignment="1">
      <alignment horizontal="right"/>
    </xf>
    <xf numFmtId="44" fontId="2" fillId="0" borderId="0" xfId="1" applyFon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14" fontId="0" fillId="0" borderId="0" xfId="0" applyNumberFormat="1" applyAlignment="1">
      <alignment horizontal="center"/>
    </xf>
    <xf numFmtId="164" fontId="2" fillId="0" borderId="0" xfId="1" applyNumberFormat="1" applyFont="1" applyAlignment="1">
      <alignment horizontal="right"/>
    </xf>
    <xf numFmtId="165" fontId="0" fillId="2" borderId="0" xfId="1" applyNumberFormat="1" applyFont="1" applyFill="1" applyAlignment="1">
      <alignment horizontal="right"/>
    </xf>
    <xf numFmtId="165" fontId="0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3" applyFont="1" applyAlignment="1">
      <alignment vertical="center"/>
    </xf>
    <xf numFmtId="1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</cellXfs>
  <cellStyles count="4">
    <cellStyle name="Köprü" xfId="3" builtinId="8"/>
    <cellStyle name="Normal" xfId="0" builtinId="0"/>
    <cellStyle name="ParaBirimi" xfId="1" builtinId="4"/>
    <cellStyle name="Yüzde" xfId="2" builtinId="5"/>
  </cellStyles>
  <dxfs count="564"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_ \ [$$-C0C]_ ;_ * \-#,##0.00\ \ [$$-C0C]_ ;_ * &quot;-&quot;??_ \ [$$-C0C]_ ;_ @_ 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charset val="162"/>
      </font>
      <numFmt numFmtId="165" formatCode="_ * #,##0.00_ \ [$$-C0C]_ ;_ * \-#,##0.00\ \ [$$-C0C]_ ;_ * &quot;-&quot;??_ \ [$$-C0C]_ ;_ @_ "/>
      <alignment vertical="center" textRotation="0" indent="0" justifyLastLine="0" shrinkToFit="0" readingOrder="0"/>
    </dxf>
    <dxf>
      <font>
        <b/>
        <charset val="162"/>
      </font>
      <numFmt numFmtId="165" formatCode="_ * #,##0.00_ \ [$$-C0C]_ ;_ * \-#,##0.00\ \ [$$-C0C]_ ;_ * &quot;-&quot;??_ \ [$$-C0C]_ ;_ @_ "/>
      <alignment horizontal="general" vertical="center" textRotation="0" wrapText="0" indent="0" justifyLastLine="0" shrinkToFit="0" readingOrder="0"/>
    </dxf>
    <dxf>
      <numFmt numFmtId="165" formatCode="_ * #,##0.00_ \ [$$-C0C]_ ;_ * \-#,##0.00\ \ [$$-C0C]_ ;_ * &quot;-&quot;??_ \ [$$-C0C]_ ;_ @_ "/>
      <alignment vertical="center" textRotation="0" indent="0" justifyLastLine="0" shrinkToFit="0" readingOrder="0"/>
    </dxf>
    <dxf>
      <font>
        <b/>
        <charset val="162"/>
      </font>
      <numFmt numFmtId="165" formatCode="_ * #,##0.00_ \ [$$-C0C]_ ;_ * \-#,##0.00\ \ [$$-C0C]_ ;_ * &quot;-&quot;??_ \ [$$-C0C]_ ;_ @_ "/>
      <alignment vertical="center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charset val="162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C0BA317-2DF3-41C9-964F-96400EC873E3}" name="Tablo2" displayName="Tablo2" ref="B2:G39" totalsRowShown="0" headerRowDxfId="563" dataDxfId="562">
  <autoFilter ref="B2:G39" xr:uid="{6F5A7B43-5967-4640-9FB4-DAB3697C2CD4}"/>
  <tableColumns count="6">
    <tableColumn id="1" xr3:uid="{D9F838C1-4138-41CA-AAD9-8CA72AC1E5F5}" name="HİSSE" dataDxfId="561" dataCellStyle="Köprü"/>
    <tableColumn id="2" xr3:uid="{1F5B6C16-027A-4E5C-9CAE-31C7F683ABED}" name="ADET" dataDxfId="560"/>
    <tableColumn id="3" xr3:uid="{7F452EE5-3DEA-4FA0-900B-214080772E4B}" name="MALİYET" dataDxfId="559"/>
    <tableColumn id="4" xr3:uid="{0E8E2010-A8E0-4BCC-9967-E8D569C76D56}" name="FİYAT" dataDxfId="558"/>
    <tableColumn id="5" xr3:uid="{42BE961F-7D3C-4553-A469-A7AEC25CB1F0}" name="GÜNCEL TUTAT" dataDxfId="557">
      <calculatedColumnFormula>E3*C3</calculatedColumnFormula>
    </tableColumn>
    <tableColumn id="6" xr3:uid="{1DE5EC04-E35C-40D8-A934-488B1A618357}" name="KAR/ZARAR" dataDxfId="55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CC286-A442-4F87-9FA8-B721E3B003F5}" name="Tablo1" displayName="Tablo1" ref="B3:H27" totalsRowShown="0" headerRowDxfId="555" dataDxfId="554" headerRowCellStyle="ParaBirimi" dataCellStyle="ParaBirimi">
  <autoFilter ref="B3:H27" xr:uid="{1E1CC286-A442-4F87-9FA8-B721E3B003F5}"/>
  <tableColumns count="7">
    <tableColumn id="1" xr3:uid="{F0FBCF84-C0B8-44B5-B661-522FEAAB4FB2}" name="TARİH" dataDxfId="553"/>
    <tableColumn id="2" xr3:uid="{49479EA9-2F39-4285-94F4-E9372A043BE2}" name="ADET" dataDxfId="552"/>
    <tableColumn id="3" xr3:uid="{7F9BF3C4-3D56-4DD7-A258-B7FB0B46E06A}" name="ALIŞ" dataDxfId="551" dataCellStyle="ParaBirimi"/>
    <tableColumn id="4" xr3:uid="{51942B07-FB06-4C14-8CE4-BE44637794EE}" name="SATIŞ" dataDxfId="550" dataCellStyle="ParaBirimi"/>
    <tableColumn id="5" xr3:uid="{C0BE441E-E22D-4EB3-9901-1E98794E3582}" name="KAR" dataDxfId="549" dataCellStyle="ParaBirimi">
      <calculatedColumnFormula>IF(Tablo1[[#This Row],[SATIŞ]]=0,"Açık",(E4-D4)*C4-3)</calculatedColumnFormula>
    </tableColumn>
    <tableColumn id="6" xr3:uid="{1C9FF7A5-7CF4-48D7-AD40-A0AD25F35572}" name="ALIŞ TUTAR" dataDxfId="548" dataCellStyle="ParaBirimi">
      <calculatedColumnFormula>IF(Tablo1[[#This Row],[ALIŞ]]&gt;0,Tablo1[[#This Row],[ADET]]*Tablo1[[#This Row],[ALIŞ]]+1.5,0)</calculatedColumnFormula>
    </tableColumn>
    <tableColumn id="7" xr3:uid="{C85F7F80-FA40-4EC7-A977-3545B9C77023}" name="SATIŞ TUTAR" dataDxfId="547" dataCellStyle="ParaBirimi">
      <calculatedColumnFormula>IF(Tablo1[[#This Row],[SATIŞ]]&gt;0,(Tablo1[[#This Row],[ADET]]*Tablo1[[#This Row],[SATIŞ]]-1.5),0)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B5C72E-1D34-4936-8116-2CF1972AA189}" name="Tablo13489" displayName="Tablo13489" ref="B3:H27" totalsRowShown="0" headerRowDxfId="546" dataDxfId="545" headerRowCellStyle="ParaBirimi" dataCellStyle="ParaBirimi">
  <autoFilter ref="B3:H27" xr:uid="{1E1CC286-A442-4F87-9FA8-B721E3B003F5}"/>
  <tableColumns count="7">
    <tableColumn id="1" xr3:uid="{DDACE099-8E3C-4B63-84D6-D77077E5A2CE}" name="TARİH" dataDxfId="544"/>
    <tableColumn id="2" xr3:uid="{2C630337-5A00-4AB8-BA30-CCFD2430D4A5}" name="ADET" dataDxfId="543"/>
    <tableColumn id="3" xr3:uid="{5B1D7FE6-E53F-4A94-91D5-94AA98A4B263}" name="ALIŞ" dataDxfId="542" dataCellStyle="ParaBirimi"/>
    <tableColumn id="4" xr3:uid="{C6E04758-84C4-421F-8CAD-A847107A3577}" name="SATIŞ" dataDxfId="541" dataCellStyle="ParaBirimi"/>
    <tableColumn id="5" xr3:uid="{F78EB8FF-A108-4D55-8E43-D0858F442E07}" name="KAR" dataDxfId="540" dataCellStyle="ParaBirimi">
      <calculatedColumnFormula>IF(Tablo13489[[#This Row],[SATIŞ]]=0,"Açık",(E4-D4)*C4-3)</calculatedColumnFormula>
    </tableColumn>
    <tableColumn id="6" xr3:uid="{644A3007-CC7E-4B90-AF66-8135420A454D}" name="ALIŞ TUTAR" dataDxfId="539" dataCellStyle="ParaBirimi">
      <calculatedColumnFormula>IF(Tablo13489[[#This Row],[ALIŞ]]&gt;0,Tablo13489[[#This Row],[ADET]]*Tablo13489[[#This Row],[ALIŞ]]+1.5,0)</calculatedColumnFormula>
    </tableColumn>
    <tableColumn id="7" xr3:uid="{709B78C2-D9B0-4517-BD73-7F4F8F26FD36}" name="SATIŞ TUTAR" dataDxfId="538" dataCellStyle="ParaBirimi">
      <calculatedColumnFormula>IF(Tablo13489[[#This Row],[SATIŞ]]&gt;0,(Tablo13489[[#This Row],[ADET]]*Tablo13489[[#This Row],[SATIŞ]]-1.5),0)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E88582-A300-4EEC-A4B7-970367DEB5C2}" name="Tablo134262728293031353637" displayName="Tablo134262728293031353637" ref="B3:H29" totalsRowShown="0" headerRowDxfId="537" dataDxfId="536" headerRowCellStyle="ParaBirimi" dataCellStyle="ParaBirimi">
  <autoFilter ref="B3:H29" xr:uid="{1E1CC286-A442-4F87-9FA8-B721E3B003F5}"/>
  <tableColumns count="7">
    <tableColumn id="1" xr3:uid="{B4A09F53-534B-4C7E-972C-5ED6FA3642E6}" name="TARİH" dataDxfId="535"/>
    <tableColumn id="2" xr3:uid="{0F70516F-22AE-4327-91A9-A367311980FE}" name="ADET" dataDxfId="534"/>
    <tableColumn id="3" xr3:uid="{8D8D9D1B-7A0C-4227-9BA1-FE67265736BE}" name="ALIŞ" dataDxfId="533" dataCellStyle="ParaBirimi"/>
    <tableColumn id="4" xr3:uid="{F6F884C8-4EF0-4A13-A0EE-34E6250A3BCA}" name="SATIŞ" dataDxfId="532" dataCellStyle="ParaBirimi"/>
    <tableColumn id="5" xr3:uid="{3FE20F4F-8D17-4C46-8894-457A1F396569}" name="KAR" dataDxfId="531" dataCellStyle="ParaBirimi">
      <calculatedColumnFormula>IF(Tablo134262728293031353637[[#This Row],[SATIŞ]]=0,"Açık",(E4-D4)*C4-3)</calculatedColumnFormula>
    </tableColumn>
    <tableColumn id="6" xr3:uid="{229564A4-D337-4544-980D-9D7B3E948B40}" name="ALIŞ TUTAR" dataDxfId="530" dataCellStyle="ParaBirimi">
      <calculatedColumnFormula>IF(Tablo134262728293031353637[[#This Row],[ALIŞ]]&gt;0,Tablo134262728293031353637[[#This Row],[ADET]]*Tablo134262728293031353637[[#This Row],[ALIŞ]]+1.5,0)</calculatedColumnFormula>
    </tableColumn>
    <tableColumn id="7" xr3:uid="{405418D8-2D8B-4961-83B4-A264EF5765D0}" name="SATIŞ TUTAR" dataDxfId="529" dataCellStyle="ParaBirimi">
      <calculatedColumnFormula>IF(Tablo134262728293031353637[[#This Row],[SATIŞ]]&gt;0,(Tablo134262728293031353637[[#This Row],[ADET]]*Tablo134262728293031353637[[#This Row],[SATIŞ]]-1.5),0)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A655328-CAC4-4CC0-A011-DA17D2D2803D}" name="Tablo1348913141516171819" displayName="Tablo1348913141516171819" ref="B3:H27" totalsRowShown="0" headerRowDxfId="528" dataDxfId="527" headerRowCellStyle="ParaBirimi" dataCellStyle="ParaBirimi">
  <autoFilter ref="B3:H27" xr:uid="{1E1CC286-A442-4F87-9FA8-B721E3B003F5}"/>
  <tableColumns count="7">
    <tableColumn id="1" xr3:uid="{D0303071-F954-4BAA-A8D7-28D2BE13A659}" name="TARİH" dataDxfId="526"/>
    <tableColumn id="2" xr3:uid="{9FB9E834-C1CC-4005-AC6A-EDAA7301E19E}" name="ADET" dataDxfId="525"/>
    <tableColumn id="3" xr3:uid="{CA62C917-3B47-40EB-8B8B-EA1EF634AB61}" name="ALIŞ" dataDxfId="524" dataCellStyle="ParaBirimi"/>
    <tableColumn id="4" xr3:uid="{4B29CB76-4AE4-4C4A-AC16-CA8749FD087A}" name="SATIŞ" dataDxfId="523" dataCellStyle="ParaBirimi"/>
    <tableColumn id="5" xr3:uid="{8CFBFC67-CDFD-4B47-B70A-523188AAF7BD}" name="KAR" dataDxfId="522" dataCellStyle="ParaBirimi">
      <calculatedColumnFormula>IF(Tablo1348913141516171819[[#This Row],[SATIŞ]]=0,"Açık",(E4-D4)*C4-3)</calculatedColumnFormula>
    </tableColumn>
    <tableColumn id="6" xr3:uid="{AD08666C-44D8-4B9C-ABD7-2BA478203BC0}" name="ALIŞ TUTAR" dataDxfId="521" dataCellStyle="ParaBirimi">
      <calculatedColumnFormula>IF(Tablo1348913141516171819[[#This Row],[ALIŞ]]&gt;0,Tablo1348913141516171819[[#This Row],[ADET]]*Tablo1348913141516171819[[#This Row],[ALIŞ]]+1.5,0)</calculatedColumnFormula>
    </tableColumn>
    <tableColumn id="7" xr3:uid="{6FDB7E6B-1DBC-48D9-9437-72B9CDA1773B}" name="SATIŞ TUTAR" dataDxfId="520" dataCellStyle="ParaBirimi">
      <calculatedColumnFormula>IF(Tablo1348913141516171819[[#This Row],[SATIŞ]]&gt;0,(Tablo1348913141516171819[[#This Row],[ADET]]*Tablo1348913141516171819[[#This Row],[SATIŞ]]-1.5),0)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96EDD0-7055-49EB-8080-60B7AE9F28A5}" name="Tablo13456" displayName="Tablo13456" ref="B3:H27" totalsRowShown="0" headerRowDxfId="519" dataDxfId="518" headerRowCellStyle="ParaBirimi" dataCellStyle="ParaBirimi">
  <autoFilter ref="B3:H27" xr:uid="{1E1CC286-A442-4F87-9FA8-B721E3B003F5}"/>
  <tableColumns count="7">
    <tableColumn id="1" xr3:uid="{1E9D2984-41B4-47FA-AE95-C3CD3CA22A07}" name="TARİH" dataDxfId="517"/>
    <tableColumn id="2" xr3:uid="{6D63C0DA-9DA7-4502-9FF3-02AC790333FD}" name="ADET" dataDxfId="516"/>
    <tableColumn id="3" xr3:uid="{0B8BEC2A-0B49-4405-9407-630498C5F664}" name="ALIŞ" dataDxfId="515" dataCellStyle="ParaBirimi"/>
    <tableColumn id="4" xr3:uid="{917A2767-397B-43CC-9CDD-F16C02BF125E}" name="SATIŞ" dataDxfId="514" dataCellStyle="ParaBirimi"/>
    <tableColumn id="5" xr3:uid="{D44E510C-B11D-4B89-86F8-D43493B21C2F}" name="KAR" dataDxfId="513" dataCellStyle="ParaBirimi">
      <calculatedColumnFormula>IF(Tablo13456[[#This Row],[SATIŞ]]=0,"Açık",(E4-D4)*C4-3)</calculatedColumnFormula>
    </tableColumn>
    <tableColumn id="6" xr3:uid="{149D0FEC-067F-414D-8464-BA51F7EAE739}" name="ALIŞ TUTAR" dataDxfId="512" dataCellStyle="ParaBirimi">
      <calculatedColumnFormula>IF(Tablo13456[[#This Row],[ALIŞ]]&gt;0,Tablo13456[[#This Row],[ADET]]*Tablo13456[[#This Row],[ALIŞ]]+1.5,0)</calculatedColumnFormula>
    </tableColumn>
    <tableColumn id="7" xr3:uid="{8B5B51CF-5860-4CD1-8475-AC29FD617D53}" name="SATIŞ TUTAR" dataDxfId="511" dataCellStyle="ParaBirimi">
      <calculatedColumnFormula>IF(Tablo13456[[#This Row],[SATIŞ]]&gt;0,(Tablo13456[[#This Row],[ADET]]*Tablo13456[[#This Row],[SATIŞ]]-1.5),0)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90D1E1-12D3-4AD8-9602-BE23A374D454}" name="Tablo1348913" displayName="Tablo1348913" ref="B3:H27" totalsRowShown="0" headerRowDxfId="510" dataDxfId="509" headerRowCellStyle="ParaBirimi" dataCellStyle="ParaBirimi">
  <autoFilter ref="B3:H27" xr:uid="{1E1CC286-A442-4F87-9FA8-B721E3B003F5}"/>
  <tableColumns count="7">
    <tableColumn id="1" xr3:uid="{9C0E768A-CDAA-42A3-A97C-84B9E22BE962}" name="TARİH" dataDxfId="508"/>
    <tableColumn id="2" xr3:uid="{3144C331-413F-412C-AF0A-8CD89BCC4B33}" name="ADET" dataDxfId="507"/>
    <tableColumn id="3" xr3:uid="{35A05D66-3787-46F6-84E6-4B9EEE711AB6}" name="ALIŞ" dataDxfId="506" dataCellStyle="ParaBirimi"/>
    <tableColumn id="4" xr3:uid="{86193E6A-A698-49E9-8579-4062F89179C6}" name="SATIŞ" dataDxfId="505" dataCellStyle="ParaBirimi"/>
    <tableColumn id="5" xr3:uid="{F1DBDD97-5004-4FB8-BE37-F9269F93B779}" name="KAR" dataDxfId="504" dataCellStyle="ParaBirimi">
      <calculatedColumnFormula>IF(Tablo1348913[[#This Row],[SATIŞ]]=0,"Açık",(E4-D4)*C4-3)</calculatedColumnFormula>
    </tableColumn>
    <tableColumn id="6" xr3:uid="{C19748E9-AA0A-4BFD-A49D-6F1775A2FF09}" name="ALIŞ TUTAR" dataDxfId="503" dataCellStyle="ParaBirimi">
      <calculatedColumnFormula>IF(Tablo1348913[[#This Row],[ALIŞ]]&gt;0,Tablo1348913[[#This Row],[ADET]]*Tablo1348913[[#This Row],[ALIŞ]]+1.5,0)</calculatedColumnFormula>
    </tableColumn>
    <tableColumn id="7" xr3:uid="{74385CC4-8F9A-4B27-A688-D2DED9C20DC9}" name="SATIŞ TUTAR" dataDxfId="502" dataCellStyle="ParaBirimi">
      <calculatedColumnFormula>IF(Tablo1348913[[#This Row],[SATIŞ]]&gt;0,(Tablo1348913[[#This Row],[ADET]]*Tablo1348913[[#This Row],[SATIŞ]]-1.5),0)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390913-6510-4A19-86E0-1A80FE5E89A6}" name="Tablo1348222324" displayName="Tablo1348222324" ref="B3:H27" totalsRowShown="0" headerRowDxfId="501" dataDxfId="500" headerRowCellStyle="ParaBirimi" dataCellStyle="ParaBirimi">
  <autoFilter ref="B3:H27" xr:uid="{1E1CC286-A442-4F87-9FA8-B721E3B003F5}"/>
  <tableColumns count="7">
    <tableColumn id="1" xr3:uid="{05202FCA-7E66-42F2-A578-B5F371940A0F}" name="TARİH" dataDxfId="499"/>
    <tableColumn id="2" xr3:uid="{EEA0F1CE-1FAD-42D8-A23E-58D65A2C7501}" name="ADET" dataDxfId="498"/>
    <tableColumn id="3" xr3:uid="{FAC8F2C6-4EC0-4CE0-91A1-3875E6CEBFF5}" name="ALIŞ" dataDxfId="497" dataCellStyle="ParaBirimi"/>
    <tableColumn id="4" xr3:uid="{C8EDC0F1-5C2E-4BB8-B1B8-668FFA1A490B}" name="SATIŞ" dataDxfId="496" dataCellStyle="ParaBirimi"/>
    <tableColumn id="5" xr3:uid="{3BD41D2E-D387-45B1-A448-C68AD272F28E}" name="KAR" dataDxfId="495" dataCellStyle="ParaBirimi">
      <calculatedColumnFormula>IF(Tablo1348222324[[#This Row],[SATIŞ]]=0,"Açık",(E4-D4)*C4-3)</calculatedColumnFormula>
    </tableColumn>
    <tableColumn id="6" xr3:uid="{17212AB3-8176-4833-A6FB-A049BECE59B1}" name="ALIŞ TUTAR" dataDxfId="494" dataCellStyle="ParaBirimi">
      <calculatedColumnFormula>IF(Tablo1348222324[[#This Row],[ALIŞ]]&gt;0,Tablo1348222324[[#This Row],[ADET]]*Tablo1348222324[[#This Row],[ALIŞ]]+1.5,0)</calculatedColumnFormula>
    </tableColumn>
    <tableColumn id="7" xr3:uid="{E6C2CB85-88B7-4A17-A415-97A19DE4D57A}" name="SATIŞ TUTAR" dataDxfId="493" dataCellStyle="ParaBirimi">
      <calculatedColumnFormula>IF(Tablo1348222324[[#This Row],[SATIŞ]]&gt;0,(Tablo1348222324[[#This Row],[ADET]]*Tablo1348222324[[#This Row],[SATIŞ]]-1.5),0)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CD77E4-3382-4532-B6AF-0E49A7D15B00}" name="Tablo13482223" displayName="Tablo13482223" ref="B3:H29" totalsRowShown="0" headerRowDxfId="492" dataDxfId="491" headerRowCellStyle="ParaBirimi" dataCellStyle="ParaBirimi">
  <autoFilter ref="B3:H29" xr:uid="{1E1CC286-A442-4F87-9FA8-B721E3B003F5}"/>
  <tableColumns count="7">
    <tableColumn id="1" xr3:uid="{DDB0573E-AD1D-4FDE-9347-CF65D809A3DF}" name="TARİH" dataDxfId="490"/>
    <tableColumn id="2" xr3:uid="{FDA6A57A-F0D5-4288-96B2-B93C557898AA}" name="ADET" dataDxfId="489"/>
    <tableColumn id="3" xr3:uid="{B20CA277-C8B9-4C78-A32C-46D6407F81F7}" name="ALIŞ" dataDxfId="488" dataCellStyle="ParaBirimi"/>
    <tableColumn id="4" xr3:uid="{930AC9A2-46C2-4A9F-8512-E1AC0D54F691}" name="SATIŞ" dataDxfId="487" dataCellStyle="ParaBirimi"/>
    <tableColumn id="5" xr3:uid="{C758FB9D-5E52-486D-975A-789732BDC1DA}" name="KAR" dataDxfId="486" dataCellStyle="ParaBirimi">
      <calculatedColumnFormula>IF(Tablo13482223[[#This Row],[SATIŞ]]=0,"Açık",(E4-D4)*C4-3)</calculatedColumnFormula>
    </tableColumn>
    <tableColumn id="6" xr3:uid="{AAB34438-6E34-4D88-9F49-BA0D6269E1E5}" name="ALIŞ TUTAR" dataDxfId="485" dataCellStyle="ParaBirimi">
      <calculatedColumnFormula>IF(Tablo13482223[[#This Row],[ALIŞ]]&gt;0,Tablo13482223[[#This Row],[ADET]]*Tablo13482223[[#This Row],[ALIŞ]]+1.5,0)</calculatedColumnFormula>
    </tableColumn>
    <tableColumn id="7" xr3:uid="{60652333-C153-42A1-83ED-69A41133AD6E}" name="SATIŞ TUTAR" dataDxfId="484" dataCellStyle="ParaBirimi">
      <calculatedColumnFormula>IF(Tablo13482223[[#This Row],[SATIŞ]]&gt;0,(Tablo13482223[[#This Row],[ADET]]*Tablo13482223[[#This Row],[SATIŞ]]-1.5),0)</calculatedColumnFormula>
    </tableColumn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5BD1062-5EF2-43D8-9D48-12AED96F8B86}" name="Tablo1342627282930313233" displayName="Tablo1342627282930313233" ref="B3:H28" totalsRowShown="0" headerRowDxfId="483" dataDxfId="482" headerRowCellStyle="ParaBirimi" dataCellStyle="ParaBirimi">
  <autoFilter ref="B3:H28" xr:uid="{1E1CC286-A442-4F87-9FA8-B721E3B003F5}"/>
  <tableColumns count="7">
    <tableColumn id="1" xr3:uid="{C7B945BD-3134-47A6-9CB0-B3FD15D07B05}" name="TARİH" dataDxfId="481"/>
    <tableColumn id="2" xr3:uid="{A5404089-0CED-493C-A220-81CCE1C23625}" name="ADET" dataDxfId="480"/>
    <tableColumn id="3" xr3:uid="{989E2636-530E-4388-9845-AB5A1F14725A}" name="ALIŞ" dataDxfId="479" dataCellStyle="ParaBirimi"/>
    <tableColumn id="4" xr3:uid="{7370F53A-C5F4-48A9-A80F-15F8A61A5303}" name="SATIŞ" dataDxfId="478" dataCellStyle="ParaBirimi"/>
    <tableColumn id="5" xr3:uid="{64E54F16-4F63-4212-94E5-EABBE25C4218}" name="KAR" dataDxfId="477" dataCellStyle="ParaBirimi">
      <calculatedColumnFormula>IF(Tablo1342627282930313233[[#This Row],[SATIŞ]]=0,"Açık",(E4-D4)*C4-3)</calculatedColumnFormula>
    </tableColumn>
    <tableColumn id="6" xr3:uid="{CB342676-AF50-4C8E-9E02-D2B5DC451253}" name="ALIŞ TUTAR" dataDxfId="476" dataCellStyle="ParaBirimi">
      <calculatedColumnFormula>IF(Tablo1342627282930313233[[#This Row],[ALIŞ]]&gt;0,Tablo1342627282930313233[[#This Row],[ADET]]*Tablo1342627282930313233[[#This Row],[ALIŞ]]+1.5,0)</calculatedColumnFormula>
    </tableColumn>
    <tableColumn id="7" xr3:uid="{7F481CE3-DA45-4BBF-BEDE-BC937DA78A3B}" name="SATIŞ TUTAR" dataDxfId="475" dataCellStyle="ParaBirimi">
      <calculatedColumnFormula>IF(Tablo1342627282930313233[[#This Row],[SATIŞ]]&gt;0,(Tablo1342627282930313233[[#This Row],[ADET]]*Tablo1342627282930313233[[#This Row],[SATIŞ]]-1.5),0)</calculatedColumnFormula>
    </tableColumn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F0D64E-6374-4DE4-B4B3-026C86FABED1}" name="Tablo134" displayName="Tablo134" ref="B3:H27" totalsRowShown="0" headerRowDxfId="474" dataDxfId="473" headerRowCellStyle="ParaBirimi" dataCellStyle="ParaBirimi">
  <autoFilter ref="B3:H27" xr:uid="{1E1CC286-A442-4F87-9FA8-B721E3B003F5}"/>
  <tableColumns count="7">
    <tableColumn id="1" xr3:uid="{E0086E13-DB97-48B5-A87B-417E4672C7A3}" name="TARİH" dataDxfId="472"/>
    <tableColumn id="2" xr3:uid="{DA5FFEDE-1FE8-4D0A-B813-F224DA681D48}" name="ADET" dataDxfId="471"/>
    <tableColumn id="3" xr3:uid="{3484A95F-13C2-4304-86AE-C4768AD14022}" name="ALIŞ" dataDxfId="470" dataCellStyle="ParaBirimi"/>
    <tableColumn id="4" xr3:uid="{D5D73628-0BAF-4D9C-B273-D494446895C5}" name="SATIŞ" dataDxfId="469" dataCellStyle="ParaBirimi"/>
    <tableColumn id="5" xr3:uid="{56229EDC-481F-403F-B4F0-86D73090C6FE}" name="KAR" dataDxfId="468" dataCellStyle="ParaBirimi">
      <calculatedColumnFormula>IF(Tablo134[[#This Row],[SATIŞ]]=0,"Açık",(E4-D4)*C4-3)</calculatedColumnFormula>
    </tableColumn>
    <tableColumn id="6" xr3:uid="{E71CA663-C800-446F-90F8-6BC6BE903642}" name="ALIŞ TUTAR" dataDxfId="467" dataCellStyle="ParaBirimi">
      <calculatedColumnFormula>IF(Tablo134[[#This Row],[ALIŞ]]&gt;0,Tablo134[[#This Row],[ADET]]*Tablo134[[#This Row],[ALIŞ]]+1.5,0)</calculatedColumnFormula>
    </tableColumn>
    <tableColumn id="7" xr3:uid="{1A401B28-C58C-419F-9AB9-6EFCE490BE16}" name="SATIŞ TUTAR" dataDxfId="466" dataCellStyle="ParaBirimi">
      <calculatedColumnFormula>IF(Tablo134[[#This Row],[SATIŞ]]&gt;0,(Tablo134[[#This Row],[ADET]]*Tablo134[[#This Row],[SATIŞ]]-1.5),0)</calculatedColumnFormula>
    </tableColumn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BEA8A6B-36FE-4B8C-9D63-6CF74905ABE8}" name="Tablo13426272829303135" displayName="Tablo13426272829303135" ref="B3:H33" totalsRowShown="0" headerRowDxfId="465" dataDxfId="464" headerRowCellStyle="ParaBirimi" dataCellStyle="ParaBirimi">
  <autoFilter ref="B3:H33" xr:uid="{1E1CC286-A442-4F87-9FA8-B721E3B003F5}"/>
  <tableColumns count="7">
    <tableColumn id="1" xr3:uid="{5EF61CA5-5AF3-49C5-867C-7823D0D7C5FF}" name="TARİH" dataDxfId="463"/>
    <tableColumn id="2" xr3:uid="{7ECBFFB7-6BB8-456C-B86B-2FF614A29976}" name="ADET" dataDxfId="462"/>
    <tableColumn id="3" xr3:uid="{73F790E9-BC6A-4C84-9A0B-24A7BABC4FC8}" name="ALIŞ" dataDxfId="461" dataCellStyle="ParaBirimi"/>
    <tableColumn id="4" xr3:uid="{95E162B6-8114-4D47-B396-963CC7D4F2C6}" name="SATIŞ" dataDxfId="460" dataCellStyle="ParaBirimi"/>
    <tableColumn id="5" xr3:uid="{2F39E1ED-22A5-419C-94B6-52B4F891A7C0}" name="KAR" dataDxfId="459" dataCellStyle="ParaBirimi">
      <calculatedColumnFormula>IF(Tablo13426272829303135[[#This Row],[SATIŞ]]=0,"Açık",(E4-D4)*C4-3)</calculatedColumnFormula>
    </tableColumn>
    <tableColumn id="6" xr3:uid="{47DBABB1-5E7E-4167-AE25-AE55FEE12BF1}" name="ALIŞ TUTAR" dataDxfId="458" dataCellStyle="ParaBirimi">
      <calculatedColumnFormula>IF(Tablo13426272829303135[[#This Row],[ALIŞ]]&gt;0,Tablo13426272829303135[[#This Row],[ADET]]*Tablo13426272829303135[[#This Row],[ALIŞ]]+1.5,0)</calculatedColumnFormula>
    </tableColumn>
    <tableColumn id="7" xr3:uid="{DE8A42BA-A124-414F-A35C-8B034B671BF8}" name="SATIŞ TUTAR" dataDxfId="457" dataCellStyle="ParaBirimi">
      <calculatedColumnFormula>IF(Tablo13426272829303135[[#This Row],[SATIŞ]]&gt;0,(Tablo13426272829303135[[#This Row],[ADET]]*Tablo13426272829303135[[#This Row],[SATIŞ]]-1.5),0)</calculatedColumnFormula>
    </tableColumn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A57A72B-C55C-4FA0-B968-79D8E93349B5}" name="Tablo13412" displayName="Tablo13412" ref="B3:H27" totalsRowShown="0" headerRowDxfId="456" dataDxfId="455" headerRowCellStyle="ParaBirimi" dataCellStyle="ParaBirimi">
  <autoFilter ref="B3:H27" xr:uid="{1E1CC286-A442-4F87-9FA8-B721E3B003F5}"/>
  <tableColumns count="7">
    <tableColumn id="1" xr3:uid="{CAB617D8-D04F-4188-BEF3-C76CB779F4E1}" name="TARİH" dataDxfId="454"/>
    <tableColumn id="2" xr3:uid="{62DD62B8-C812-4D07-8E97-7DF734042A05}" name="ADET" dataDxfId="453"/>
    <tableColumn id="3" xr3:uid="{DCC15C8E-5CAC-4054-A502-F8D36D6D5522}" name="ALIŞ" dataDxfId="452" dataCellStyle="ParaBirimi"/>
    <tableColumn id="4" xr3:uid="{464BE953-6E65-4F97-A4AD-BC27C24FE6B1}" name="SATIŞ" dataDxfId="451" dataCellStyle="ParaBirimi"/>
    <tableColumn id="5" xr3:uid="{E9338B61-FE1D-4E24-9B4E-2906670D804C}" name="KAR" dataDxfId="450" dataCellStyle="ParaBirimi">
      <calculatedColumnFormula>IF(Tablo13412[[#This Row],[SATIŞ]]=0,"Açık",(E4-D4)*C4-3)</calculatedColumnFormula>
    </tableColumn>
    <tableColumn id="6" xr3:uid="{07172E0A-9BEE-4889-A511-423EED2610DE}" name="ALIŞ TUTAR" dataDxfId="449" dataCellStyle="ParaBirimi">
      <calculatedColumnFormula>IF(Tablo13412[[#This Row],[ALIŞ]]&gt;0,Tablo13412[[#This Row],[ADET]]*Tablo13412[[#This Row],[ALIŞ]]+1.5,0)</calculatedColumnFormula>
    </tableColumn>
    <tableColumn id="7" xr3:uid="{5742CB45-5AF0-41B9-AF08-8B4BE7D84F9B}" name="SATIŞ TUTAR" dataDxfId="448" dataCellStyle="ParaBirimi">
      <calculatedColumnFormula>IF(Tablo13412[[#This Row],[SATIŞ]]&gt;0,(Tablo13412[[#This Row],[ADET]]*Tablo13412[[#This Row],[SATIŞ]]-1.5),0)</calculatedColumnFormula>
    </tableColumn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E93BA6F-60D5-4FFE-9D7B-EBA6E81E1F52}" name="Tablo13426272829303132" displayName="Tablo13426272829303132" ref="B3:H27" totalsRowShown="0" headerRowDxfId="447" dataDxfId="446" headerRowCellStyle="ParaBirimi" dataCellStyle="ParaBirimi">
  <autoFilter ref="B3:H27" xr:uid="{1E1CC286-A442-4F87-9FA8-B721E3B003F5}"/>
  <tableColumns count="7">
    <tableColumn id="1" xr3:uid="{B867B14F-F71D-4A6D-9B01-5B84DF0275B2}" name="TARİH" dataDxfId="445"/>
    <tableColumn id="2" xr3:uid="{4BB086E7-3399-427F-A30F-81D888A3FFA0}" name="ADET" dataDxfId="444"/>
    <tableColumn id="3" xr3:uid="{26453968-1A5C-4965-B7D9-97C7D003752F}" name="ALIŞ" dataDxfId="443" dataCellStyle="ParaBirimi"/>
    <tableColumn id="4" xr3:uid="{CFBD757B-22FD-45E8-A373-2C2C3A104150}" name="SATIŞ" dataDxfId="442" dataCellStyle="ParaBirimi"/>
    <tableColumn id="5" xr3:uid="{EA4052FE-8942-4CB5-8961-E5E89D55E12C}" name="KAR" dataDxfId="441" dataCellStyle="ParaBirimi">
      <calculatedColumnFormula>IF(Tablo13426272829303132[[#This Row],[SATIŞ]]=0,"Açık",(E4-D4)*C4-3)</calculatedColumnFormula>
    </tableColumn>
    <tableColumn id="6" xr3:uid="{971779D3-0F58-49E0-B457-A8C757201C52}" name="ALIŞ TUTAR" dataDxfId="440" dataCellStyle="ParaBirimi">
      <calculatedColumnFormula>IF(Tablo13426272829303132[[#This Row],[ALIŞ]]&gt;0,Tablo13426272829303132[[#This Row],[ADET]]*Tablo13426272829303132[[#This Row],[ALIŞ]]+1.5,0)</calculatedColumnFormula>
    </tableColumn>
    <tableColumn id="7" xr3:uid="{A4B421DC-6C40-4976-B74D-05A734019EA3}" name="SATIŞ TUTAR" dataDxfId="439" dataCellStyle="ParaBirimi">
      <calculatedColumnFormula>IF(Tablo13426272829303132[[#This Row],[SATIŞ]]&gt;0,(Tablo13426272829303132[[#This Row],[ADET]]*Tablo13426272829303132[[#This Row],[SATIŞ]]-1.5),0)</calculatedColumnFormula>
    </tableColumn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6705D71-720B-4DB0-82E5-3AEFA53861FE}" name="Tablo134822" displayName="Tablo134822" ref="B3:H27" totalsRowShown="0" headerRowDxfId="438" dataDxfId="437" headerRowCellStyle="ParaBirimi" dataCellStyle="ParaBirimi">
  <autoFilter ref="B3:H27" xr:uid="{1E1CC286-A442-4F87-9FA8-B721E3B003F5}"/>
  <tableColumns count="7">
    <tableColumn id="1" xr3:uid="{AE978699-D421-49EF-BBB3-0EAFF86F88AC}" name="TARİH" dataDxfId="436"/>
    <tableColumn id="2" xr3:uid="{0ACCC993-8E8F-41C9-9F9E-B10A2FC2C1FC}" name="ADET" dataDxfId="435"/>
    <tableColumn id="3" xr3:uid="{54DA1DD3-0E42-479B-BFFD-4737970ED70E}" name="ALIŞ" dataDxfId="434" dataCellStyle="ParaBirimi"/>
    <tableColumn id="4" xr3:uid="{44A8C8AD-9D9E-4806-B6CD-35958B1687C8}" name="SATIŞ" dataDxfId="433" dataCellStyle="ParaBirimi"/>
    <tableColumn id="5" xr3:uid="{A2397667-F204-4AAB-9715-2263536C83B9}" name="KAR" dataDxfId="432" dataCellStyle="ParaBirimi">
      <calculatedColumnFormula>IF(Tablo134822[[#This Row],[SATIŞ]]=0,"Açık",(E4-D4)*C4-3)</calculatedColumnFormula>
    </tableColumn>
    <tableColumn id="6" xr3:uid="{488EECF9-0C93-49AF-9076-CB76E7107CDE}" name="ALIŞ TUTAR" dataDxfId="431" dataCellStyle="ParaBirimi">
      <calculatedColumnFormula>IF(Tablo134822[[#This Row],[ALIŞ]]&gt;0,Tablo134822[[#This Row],[ADET]]*Tablo134822[[#This Row],[ALIŞ]]+1.5,0)</calculatedColumnFormula>
    </tableColumn>
    <tableColumn id="7" xr3:uid="{83602E59-6DBE-42FA-921D-B79E12EEEAFB}" name="SATIŞ TUTAR" dataDxfId="430" dataCellStyle="ParaBirimi">
      <calculatedColumnFormula>IF(Tablo134822[[#This Row],[SATIŞ]]&gt;0,(Tablo134822[[#This Row],[ADET]]*Tablo134822[[#This Row],[SATIŞ]]-1.5),0)</calculatedColumnFormula>
    </tableColumn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1067F7-752E-4ECF-A4E1-DF94B37A6A7E}" name="Tablo134891314151617" displayName="Tablo134891314151617" ref="B3:H27" totalsRowShown="0" headerRowDxfId="429" dataDxfId="428" headerRowCellStyle="ParaBirimi" dataCellStyle="ParaBirimi">
  <autoFilter ref="B3:H27" xr:uid="{1E1CC286-A442-4F87-9FA8-B721E3B003F5}"/>
  <tableColumns count="7">
    <tableColumn id="1" xr3:uid="{8494AA80-C122-4E9A-9406-270141FCF65F}" name="TARİH" dataDxfId="427"/>
    <tableColumn id="2" xr3:uid="{511E9E67-ADD2-4B26-A5B1-C978CE339054}" name="ADET" dataDxfId="426"/>
    <tableColumn id="3" xr3:uid="{E8093C41-BF01-4CA5-B61B-ADE36132C7FA}" name="ALIŞ" dataDxfId="425" dataCellStyle="ParaBirimi"/>
    <tableColumn id="4" xr3:uid="{C0FBD4F1-4201-4D13-BFA1-E8F0BAE2F349}" name="SATIŞ" dataDxfId="424" dataCellStyle="ParaBirimi"/>
    <tableColumn id="5" xr3:uid="{977FCECB-6749-4080-9563-83F9D12D0484}" name="KAR" dataDxfId="423" dataCellStyle="ParaBirimi">
      <calculatedColumnFormula>IF(Tablo134891314151617[[#This Row],[SATIŞ]]=0,"Açık",(E4-D4)*C4-3)</calculatedColumnFormula>
    </tableColumn>
    <tableColumn id="6" xr3:uid="{E4B45CDA-7ED5-4C11-9CBC-2821EDB9A3B6}" name="ALIŞ TUTAR" dataDxfId="422" dataCellStyle="ParaBirimi">
      <calculatedColumnFormula>IF(Tablo134891314151617[[#This Row],[ALIŞ]]&gt;0,Tablo134891314151617[[#This Row],[ADET]]*Tablo134891314151617[[#This Row],[ALIŞ]]+1.5,0)</calculatedColumnFormula>
    </tableColumn>
    <tableColumn id="7" xr3:uid="{90A6AD14-F981-4338-B90E-AC058F8F9339}" name="SATIŞ TUTAR" dataDxfId="421" dataCellStyle="ParaBirimi">
      <calculatedColumnFormula>IF(Tablo134891314151617[[#This Row],[SATIŞ]]&gt;0,(Tablo134891314151617[[#This Row],[ADET]]*Tablo134891314151617[[#This Row],[SATIŞ]]-1.5),0)</calculatedColumnFormula>
    </tableColumn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10B2194-CC77-4D43-B8E3-2EE7AB76119B}" name="Tablo13426" displayName="Tablo13426" ref="B3:H27" totalsRowShown="0" headerRowDxfId="420" dataDxfId="419" headerRowCellStyle="ParaBirimi" dataCellStyle="ParaBirimi">
  <autoFilter ref="B3:H27" xr:uid="{1E1CC286-A442-4F87-9FA8-B721E3B003F5}"/>
  <tableColumns count="7">
    <tableColumn id="1" xr3:uid="{B09B0E3A-BE62-446D-ACB7-317A3F917CE0}" name="TARİH" dataDxfId="418"/>
    <tableColumn id="2" xr3:uid="{62D119C4-7F34-4847-8DBE-ED9BF934ECC2}" name="ADET" dataDxfId="417"/>
    <tableColumn id="3" xr3:uid="{1DE38E60-6820-44C1-BEC7-B6699C825125}" name="ALIŞ" dataDxfId="416" dataCellStyle="ParaBirimi"/>
    <tableColumn id="4" xr3:uid="{CEAA9D1C-5A97-4554-98C9-2ECB4F0564D2}" name="SATIŞ" dataDxfId="415" dataCellStyle="ParaBirimi"/>
    <tableColumn id="5" xr3:uid="{44AD614B-A6C9-4DBE-99ED-50E4CCFB7862}" name="KAR" dataDxfId="414" dataCellStyle="ParaBirimi">
      <calculatedColumnFormula>IF(Tablo13426[[#This Row],[SATIŞ]]=0,"Açık",(E4-D4)*C4-3)</calculatedColumnFormula>
    </tableColumn>
    <tableColumn id="6" xr3:uid="{A8E73AB1-6AE9-4A72-8FC6-0BD0D3B369CA}" name="ALIŞ TUTAR" dataDxfId="413" dataCellStyle="ParaBirimi">
      <calculatedColumnFormula>IF(Tablo13426[[#This Row],[ALIŞ]]&gt;0,Tablo13426[[#This Row],[ADET]]*Tablo13426[[#This Row],[ALIŞ]]+1.5,0)</calculatedColumnFormula>
    </tableColumn>
    <tableColumn id="7" xr3:uid="{58555DC7-A74B-4C6D-BBE1-124161CBECF7}" name="SATIŞ TUTAR" dataDxfId="412" dataCellStyle="ParaBirimi">
      <calculatedColumnFormula>IF(Tablo13426[[#This Row],[SATIŞ]]&gt;0,(Tablo13426[[#This Row],[ADET]]*Tablo13426[[#This Row],[SATIŞ]]-1.5),0)</calculatedColumnFormula>
    </tableColumn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259E99-F065-445F-8AB7-9CE8D3E8BE3C}" name="Tablo1348" displayName="Tablo1348" ref="B3:H27" totalsRowShown="0" headerRowDxfId="411" dataDxfId="410" headerRowCellStyle="ParaBirimi" dataCellStyle="ParaBirimi">
  <autoFilter ref="B3:H27" xr:uid="{1E1CC286-A442-4F87-9FA8-B721E3B003F5}"/>
  <tableColumns count="7">
    <tableColumn id="1" xr3:uid="{D22518AB-128E-41EF-9759-1460F5335B73}" name="TARİH" dataDxfId="409"/>
    <tableColumn id="2" xr3:uid="{54FDC116-B8E4-4B7D-A4B9-79F53C9455E1}" name="ADET" dataDxfId="408"/>
    <tableColumn id="3" xr3:uid="{05FF0821-9315-43FE-BF69-EF990A8D9495}" name="ALIŞ" dataDxfId="407" dataCellStyle="ParaBirimi"/>
    <tableColumn id="4" xr3:uid="{ED817742-E403-41E4-9324-47296858DEE5}" name="SATIŞ" dataDxfId="406" dataCellStyle="ParaBirimi"/>
    <tableColumn id="5" xr3:uid="{C8F0C679-E435-4512-BF8A-C5BAF6866A54}" name="KAR" dataDxfId="405" dataCellStyle="ParaBirimi">
      <calculatedColumnFormula>IF(Tablo1348[[#This Row],[SATIŞ]]=0,"Açık",(E4-D4)*C4-3)</calculatedColumnFormula>
    </tableColumn>
    <tableColumn id="6" xr3:uid="{247490CA-146F-40CA-97E0-26D54D4E9DD4}" name="ALIŞ TUTAR" dataDxfId="404" dataCellStyle="ParaBirimi">
      <calculatedColumnFormula>IF(Tablo1348[[#This Row],[ALIŞ]]&gt;0,Tablo1348[[#This Row],[ADET]]*Tablo1348[[#This Row],[ALIŞ]]+1.5,0)</calculatedColumnFormula>
    </tableColumn>
    <tableColumn id="7" xr3:uid="{83A96D97-D80F-45E4-B143-56EB7078F8EA}" name="SATIŞ TUTAR" dataDxfId="403" dataCellStyle="ParaBirimi">
      <calculatedColumnFormula>IF(Tablo1348[[#This Row],[SATIŞ]]&gt;0,(Tablo1348[[#This Row],[ADET]]*Tablo1348[[#This Row],[SATIŞ]]-1.5),0)</calculatedColumnFormula>
    </tableColumn>
  </tableColumns>
  <tableStyleInfo name="TableStyleLight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9D0C34-3621-4451-82E2-037C68A3FBE0}" name="Tablo13411" displayName="Tablo13411" ref="B3:H27" totalsRowShown="0" headerRowDxfId="402" dataDxfId="401" headerRowCellStyle="ParaBirimi" dataCellStyle="ParaBirimi">
  <autoFilter ref="B3:H27" xr:uid="{1E1CC286-A442-4F87-9FA8-B721E3B003F5}"/>
  <tableColumns count="7">
    <tableColumn id="1" xr3:uid="{127345A2-CCA2-41CF-8BD5-CD34C31526F6}" name="TARİH" dataDxfId="400"/>
    <tableColumn id="2" xr3:uid="{C479BE07-FC26-4C0B-BE79-77E42E1D411A}" name="ADET" dataDxfId="399"/>
    <tableColumn id="3" xr3:uid="{04D1BA26-2AA0-434D-8D50-7A42CC072B29}" name="ALIŞ" dataDxfId="398" dataCellStyle="ParaBirimi"/>
    <tableColumn id="4" xr3:uid="{935AF8E0-EE75-4D00-8155-E39B8C74AC49}" name="SATIŞ" dataDxfId="397" dataCellStyle="ParaBirimi"/>
    <tableColumn id="5" xr3:uid="{CF1692EE-25C9-42CA-8068-0FC32227CF1D}" name="KAR" dataDxfId="396" dataCellStyle="ParaBirimi">
      <calculatedColumnFormula>IF(Tablo13411[[#This Row],[SATIŞ]]=0,"Açık",(E4-D4)*C4-3)</calculatedColumnFormula>
    </tableColumn>
    <tableColumn id="6" xr3:uid="{CD9E8892-576F-4DA0-BF7E-9E6331E79889}" name="ALIŞ TUTAR" dataDxfId="395" dataCellStyle="ParaBirimi">
      <calculatedColumnFormula>IF(Tablo13411[[#This Row],[ALIŞ]]&gt;0,Tablo13411[[#This Row],[ADET]]*Tablo13411[[#This Row],[ALIŞ]]+1.5,0)</calculatedColumnFormula>
    </tableColumn>
    <tableColumn id="7" xr3:uid="{E6D7D77D-AD98-4C17-837E-E4EF6885F92C}" name="SATIŞ TUTAR" dataDxfId="394" dataCellStyle="ParaBirimi">
      <calculatedColumnFormula>IF(Tablo13411[[#This Row],[SATIŞ]]&gt;0,(Tablo13411[[#This Row],[ADET]]*Tablo13411[[#This Row],[SATIŞ]]-1.5),0)</calculatedColumnFormula>
    </tableColumn>
  </tableColumns>
  <tableStyleInfo name="TableStyleLight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6F48229-9669-456C-A705-D4C1C1B27F0D}" name="Tablo134262728" displayName="Tablo134262728" ref="B3:H27" totalsRowShown="0" headerRowDxfId="393" dataDxfId="392" headerRowCellStyle="ParaBirimi" dataCellStyle="ParaBirimi">
  <autoFilter ref="B3:H27" xr:uid="{1E1CC286-A442-4F87-9FA8-B721E3B003F5}"/>
  <tableColumns count="7">
    <tableColumn id="1" xr3:uid="{09473859-6D5C-4066-9F81-86092DE56757}" name="TARİH" dataDxfId="391"/>
    <tableColumn id="2" xr3:uid="{8FE28331-2187-4B78-B188-5C434EED53EF}" name="ADET" dataDxfId="390"/>
    <tableColumn id="3" xr3:uid="{32186877-E7A7-4FDE-9A15-7828D2BCAA68}" name="ALIŞ" dataDxfId="389" dataCellStyle="ParaBirimi"/>
    <tableColumn id="4" xr3:uid="{F8835DAB-EE18-4327-A833-80E075DC55E7}" name="SATIŞ" dataDxfId="388" dataCellStyle="ParaBirimi"/>
    <tableColumn id="5" xr3:uid="{0D1137A0-81E6-481B-BA37-0FEBAD588DC5}" name="KAR" dataDxfId="387" dataCellStyle="ParaBirimi">
      <calculatedColumnFormula>IF(Tablo134262728[[#This Row],[SATIŞ]]=0,"Açık",(E4-D4)*C4-3)</calculatedColumnFormula>
    </tableColumn>
    <tableColumn id="6" xr3:uid="{7476EA3D-9E91-42AF-B82B-C61D314C4662}" name="ALIŞ TUTAR" dataDxfId="386" dataCellStyle="ParaBirimi">
      <calculatedColumnFormula>IF(Tablo134262728[[#This Row],[ALIŞ]]&gt;0,Tablo134262728[[#This Row],[ADET]]*Tablo134262728[[#This Row],[ALIŞ]]+1.5,0)</calculatedColumnFormula>
    </tableColumn>
    <tableColumn id="7" xr3:uid="{77589948-91E9-480E-BA4C-033894EE869D}" name="SATIŞ TUTAR" dataDxfId="385" dataCellStyle="ParaBirimi">
      <calculatedColumnFormula>IF(Tablo134262728[[#This Row],[SATIŞ]]&gt;0,(Tablo134262728[[#This Row],[ADET]]*Tablo134262728[[#This Row],[SATIŞ]]-1.5),0)</calculatedColumnFormula>
    </tableColumn>
  </tableColumns>
  <tableStyleInfo name="TableStyleLight1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0C37BFA-DAEF-4F8F-920A-A36937145A2D}" name="Tablo1348913141516" displayName="Tablo1348913141516" ref="B3:H27" totalsRowShown="0" headerRowDxfId="384" dataDxfId="383" headerRowCellStyle="ParaBirimi" dataCellStyle="ParaBirimi">
  <autoFilter ref="B3:H27" xr:uid="{1E1CC286-A442-4F87-9FA8-B721E3B003F5}"/>
  <tableColumns count="7">
    <tableColumn id="1" xr3:uid="{1E1661E9-A4B0-4C7D-8C4F-01B9DEFE1B36}" name="TARİH" dataDxfId="382"/>
    <tableColumn id="2" xr3:uid="{04F49A96-1959-4DE7-9DC9-F07CE18B7293}" name="ADET" dataDxfId="381"/>
    <tableColumn id="3" xr3:uid="{E7525EC6-F883-46FE-997C-292C328A5412}" name="ALIŞ" dataDxfId="380" dataCellStyle="ParaBirimi"/>
    <tableColumn id="4" xr3:uid="{5E52BD2B-90C9-45A8-99CF-0CF535BA4865}" name="SATIŞ" dataDxfId="379" dataCellStyle="ParaBirimi"/>
    <tableColumn id="5" xr3:uid="{94E20B13-F689-4F2D-A056-A71BADA8B30A}" name="KAR" dataDxfId="378" dataCellStyle="ParaBirimi">
      <calculatedColumnFormula>IF(Tablo1348913141516[[#This Row],[SATIŞ]]=0,"Açık",(E4-D4)*C4-3)</calculatedColumnFormula>
    </tableColumn>
    <tableColumn id="6" xr3:uid="{D29864B7-941D-4409-B166-E954006391E3}" name="ALIŞ TUTAR" dataDxfId="377" dataCellStyle="ParaBirimi">
      <calculatedColumnFormula>IF(Tablo1348913141516[[#This Row],[ALIŞ]]&gt;0,Tablo1348913141516[[#This Row],[ADET]]*Tablo1348913141516[[#This Row],[ALIŞ]]+1.5,0)</calculatedColumnFormula>
    </tableColumn>
    <tableColumn id="7" xr3:uid="{1DA44563-0D3C-4963-A2FE-6D8A7887321E}" name="SATIŞ TUTAR" dataDxfId="376" dataCellStyle="ParaBirimi">
      <calculatedColumnFormula>IF(Tablo1348913141516[[#This Row],[SATIŞ]]&gt;0,(Tablo1348913141516[[#This Row],[ADET]]*Tablo1348913141516[[#This Row],[SATIŞ]]-1.5),0)</calculatedColumnFormula>
    </tableColumn>
  </tableColumns>
  <tableStyleInfo name="TableStyleLight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A9E6F9-EE87-4CE4-BD5A-CBE033359467}" name="Tablo1345" displayName="Tablo1345" ref="B3:H27" totalsRowShown="0" headerRowDxfId="375" dataDxfId="374" headerRowCellStyle="ParaBirimi" dataCellStyle="ParaBirimi">
  <autoFilter ref="B3:H27" xr:uid="{1E1CC286-A442-4F87-9FA8-B721E3B003F5}"/>
  <tableColumns count="7">
    <tableColumn id="1" xr3:uid="{DD4B8575-B244-4BCF-8C84-56B320B5956E}" name="TARİH" dataDxfId="373"/>
    <tableColumn id="2" xr3:uid="{F351C367-00C4-478C-A753-791DDF0A225D}" name="ADET" dataDxfId="372"/>
    <tableColumn id="3" xr3:uid="{EF6C4F18-E6A8-4DC1-9238-548C332CDB74}" name="ALIŞ" dataDxfId="371" dataCellStyle="ParaBirimi"/>
    <tableColumn id="4" xr3:uid="{4E28D5AD-8E90-49E9-987E-F386731D3826}" name="SATIŞ" dataDxfId="370" dataCellStyle="ParaBirimi"/>
    <tableColumn id="5" xr3:uid="{6EB654BB-6F5D-43CD-96B1-C9A1D6151937}" name="KAR" dataDxfId="369" dataCellStyle="ParaBirimi">
      <calculatedColumnFormula>IF(Tablo1345[[#This Row],[SATIŞ]]=0,"Açık",(E4-D4)*C4-3)</calculatedColumnFormula>
    </tableColumn>
    <tableColumn id="6" xr3:uid="{4780BA39-2094-4DF9-B3A9-4D6CA370EF2D}" name="ALIŞ TUTAR" dataDxfId="368" dataCellStyle="ParaBirimi">
      <calculatedColumnFormula>IF(Tablo1345[[#This Row],[ALIŞ]]&gt;0,Tablo1345[[#This Row],[ADET]]*Tablo1345[[#This Row],[ALIŞ]]+1.5,0)</calculatedColumnFormula>
    </tableColumn>
    <tableColumn id="7" xr3:uid="{882B0401-CB97-491A-9BB6-A492F66BBCF0}" name="SATIŞ TUTAR" dataDxfId="367" dataCellStyle="ParaBirimi">
      <calculatedColumnFormula>IF(Tablo1345[[#This Row],[SATIŞ]]&gt;0,(Tablo1345[[#This Row],[ADET]]*Tablo1345[[#This Row],[SATIŞ]]-1.5),0)</calculatedColumnFormula>
    </tableColumn>
  </tableColumns>
  <tableStyleInfo name="TableStyleLight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80FBA9C-FF51-41E7-A33A-B4656C7737E2}" name="Tablo13489131415161718192021" displayName="Tablo13489131415161718192021" ref="B3:H27" totalsRowShown="0" headerRowDxfId="366" dataDxfId="365" headerRowCellStyle="ParaBirimi" dataCellStyle="ParaBirimi">
  <autoFilter ref="B3:H27" xr:uid="{1E1CC286-A442-4F87-9FA8-B721E3B003F5}"/>
  <tableColumns count="7">
    <tableColumn id="1" xr3:uid="{AD195499-D4C5-49E9-BAD0-C172798064C1}" name="TARİH" dataDxfId="364"/>
    <tableColumn id="2" xr3:uid="{9CCF29BD-557A-4AEF-96C2-1A57D2D2EA7A}" name="ADET" dataDxfId="363"/>
    <tableColumn id="3" xr3:uid="{61E137B3-3CB0-479E-BC4F-916534F82962}" name="ALIŞ" dataDxfId="362" dataCellStyle="ParaBirimi"/>
    <tableColumn id="4" xr3:uid="{363CE3E5-1C78-4ACD-93F3-61E59F1655F7}" name="SATIŞ" dataDxfId="361" dataCellStyle="ParaBirimi"/>
    <tableColumn id="5" xr3:uid="{E5F2F347-3154-4F1F-8349-E04A47BBDF93}" name="KAR" dataDxfId="360" dataCellStyle="ParaBirimi">
      <calculatedColumnFormula>IF(Tablo13489131415161718192021[[#This Row],[SATIŞ]]=0,"Açık",(E4-D4)*C4-3)</calculatedColumnFormula>
    </tableColumn>
    <tableColumn id="6" xr3:uid="{9D1A8EF4-A038-4862-B17B-03A0013A967D}" name="ALIŞ TUTAR" dataDxfId="359" dataCellStyle="ParaBirimi">
      <calculatedColumnFormula>IF(Tablo13489131415161718192021[[#This Row],[ALIŞ]]&gt;0,Tablo13489131415161718192021[[#This Row],[ADET]]*Tablo13489131415161718192021[[#This Row],[ALIŞ]]+1.5,0)</calculatedColumnFormula>
    </tableColumn>
    <tableColumn id="7" xr3:uid="{516B8D1B-B8C3-4609-99D7-7D24E3642AC2}" name="SATIŞ TUTAR" dataDxfId="358" dataCellStyle="ParaBirimi">
      <calculatedColumnFormula>IF(Tablo13489131415161718192021[[#This Row],[SATIŞ]]&gt;0,(Tablo13489131415161718192021[[#This Row],[ADET]]*Tablo13489131415161718192021[[#This Row],[SATIŞ]]-1.5),0)</calculatedColumnFormula>
    </tableColumn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7E6DD0-BA14-4573-A355-0774038F2587}" name="Tablo134891314" displayName="Tablo134891314" ref="B3:H27" totalsRowShown="0" headerRowDxfId="357" dataDxfId="356" headerRowCellStyle="ParaBirimi" dataCellStyle="ParaBirimi">
  <autoFilter ref="B3:H27" xr:uid="{1E1CC286-A442-4F87-9FA8-B721E3B003F5}"/>
  <tableColumns count="7">
    <tableColumn id="1" xr3:uid="{178C6AEC-00BF-411D-9A64-600324598B41}" name="TARİH" dataDxfId="355"/>
    <tableColumn id="2" xr3:uid="{0E9C66D0-35A9-4339-BB57-9792B001814C}" name="ADET" dataDxfId="354"/>
    <tableColumn id="3" xr3:uid="{F38D90D0-15A3-44C0-8A3C-8B33CCAFC69F}" name="ALIŞ" dataDxfId="353" dataCellStyle="ParaBirimi"/>
    <tableColumn id="4" xr3:uid="{7A47C636-832A-4B9E-B88A-684A76AD0398}" name="SATIŞ" dataDxfId="352" dataCellStyle="ParaBirimi"/>
    <tableColumn id="5" xr3:uid="{44F8565F-152D-4EDD-9410-321971C4BDC7}" name="KAR" dataDxfId="351" dataCellStyle="ParaBirimi">
      <calculatedColumnFormula>IF(Tablo134891314[[#This Row],[SATIŞ]]=0,"Açık",(E4-D4)*C4-3)</calculatedColumnFormula>
    </tableColumn>
    <tableColumn id="6" xr3:uid="{95A65440-64E7-4DB8-A853-432EEF87E453}" name="ALIŞ TUTAR" dataDxfId="350" dataCellStyle="ParaBirimi">
      <calculatedColumnFormula>IF(Tablo134891314[[#This Row],[ALIŞ]]&gt;0,Tablo134891314[[#This Row],[ADET]]*Tablo134891314[[#This Row],[ALIŞ]]+1.5,0)</calculatedColumnFormula>
    </tableColumn>
    <tableColumn id="7" xr3:uid="{F6E77A8D-BBD3-4CCE-BCC7-197D1774B64D}" name="SATIŞ TUTAR" dataDxfId="349" dataCellStyle="ParaBirimi">
      <calculatedColumnFormula>IF(Tablo134891314[[#This Row],[SATIŞ]]&gt;0,(Tablo134891314[[#This Row],[ADET]]*Tablo134891314[[#This Row],[SATIŞ]]-1.5),0)</calculatedColumnFormula>
    </tableColumn>
  </tableColumns>
  <tableStyleInfo name="TableStyleLight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1D35266-06E8-41A6-AB52-13800EB255A3}" name="Tablo13489131415" displayName="Tablo13489131415" ref="B3:H27" totalsRowShown="0" headerRowDxfId="348" dataDxfId="347" headerRowCellStyle="ParaBirimi" dataCellStyle="ParaBirimi">
  <autoFilter ref="B3:H27" xr:uid="{1E1CC286-A442-4F87-9FA8-B721E3B003F5}"/>
  <tableColumns count="7">
    <tableColumn id="1" xr3:uid="{F27723F1-EE12-4B91-A043-114B3451F88E}" name="TARİH" dataDxfId="346"/>
    <tableColumn id="2" xr3:uid="{59F9A14C-E38D-4A91-BF87-3B3D5C805AFD}" name="ADET" dataDxfId="345"/>
    <tableColumn id="3" xr3:uid="{9291F04F-9ADB-4DAB-BFFC-D3CEB2879251}" name="ALIŞ" dataDxfId="344" dataCellStyle="ParaBirimi"/>
    <tableColumn id="4" xr3:uid="{B8DCD65A-700F-42B8-95ED-3AB5F67E9712}" name="SATIŞ" dataDxfId="343" dataCellStyle="ParaBirimi"/>
    <tableColumn id="5" xr3:uid="{CD64B288-6E8E-4070-85CF-4499CF79D6F7}" name="KAR" dataDxfId="342" dataCellStyle="ParaBirimi">
      <calculatedColumnFormula>IF(Tablo13489131415[[#This Row],[SATIŞ]]=0,"Açık",(E4-D4)*C4-3)</calculatedColumnFormula>
    </tableColumn>
    <tableColumn id="6" xr3:uid="{F05EE95C-7AE9-4C2C-ABE5-5D690C44075C}" name="ALIŞ TUTAR" dataDxfId="341" dataCellStyle="ParaBirimi">
      <calculatedColumnFormula>IF(Tablo13489131415[[#This Row],[ALIŞ]]&gt;0,Tablo13489131415[[#This Row],[ADET]]*Tablo13489131415[[#This Row],[ALIŞ]]+1.5,0)</calculatedColumnFormula>
    </tableColumn>
    <tableColumn id="7" xr3:uid="{05C9EA81-DB22-43FF-8655-1D4FE9333609}" name="SATIŞ TUTAR" dataDxfId="340" dataCellStyle="ParaBirimi">
      <calculatedColumnFormula>IF(Tablo13489131415[[#This Row],[SATIŞ]]&gt;0,(Tablo13489131415[[#This Row],[ADET]]*Tablo13489131415[[#This Row],[SATIŞ]]-1.5),0)</calculatedColumnFormula>
    </tableColumn>
  </tableColumns>
  <tableStyleInfo name="TableStyleLight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12327C7-2E81-497F-843E-B67EAD29ADF2}" name="Tablo13489131425" displayName="Tablo13489131425" ref="B3:H27" totalsRowShown="0" headerRowDxfId="339" dataDxfId="338" headerRowCellStyle="ParaBirimi" dataCellStyle="ParaBirimi">
  <autoFilter ref="B3:H27" xr:uid="{1E1CC286-A442-4F87-9FA8-B721E3B003F5}"/>
  <tableColumns count="7">
    <tableColumn id="1" xr3:uid="{B8D44904-6A53-4EB1-A1F6-DDC93F708F77}" name="TARİH" dataDxfId="337"/>
    <tableColumn id="2" xr3:uid="{FABE0234-6731-4990-B268-3E185EA88746}" name="ADET" dataDxfId="336"/>
    <tableColumn id="3" xr3:uid="{F77C32F4-58C1-41C5-A04C-1919BD4DA1D2}" name="ALIŞ" dataDxfId="335" dataCellStyle="ParaBirimi"/>
    <tableColumn id="4" xr3:uid="{74E5923F-C0BD-4040-A965-69DBFDB0C819}" name="SATIŞ" dataDxfId="334" dataCellStyle="ParaBirimi"/>
    <tableColumn id="5" xr3:uid="{0AE41268-931D-4C0D-BD9E-CD45E1E0473C}" name="KAR" dataDxfId="333" dataCellStyle="ParaBirimi">
      <calculatedColumnFormula>IF(Tablo13489131425[[#This Row],[SATIŞ]]=0,"Açık",(E4-D4)*C4-3)</calculatedColumnFormula>
    </tableColumn>
    <tableColumn id="6" xr3:uid="{AF25E3F5-D433-44EB-8583-3BC6DD5EDF42}" name="ALIŞ TUTAR" dataDxfId="332" dataCellStyle="ParaBirimi">
      <calculatedColumnFormula>IF(Tablo13489131425[[#This Row],[ALIŞ]]&gt;0,Tablo13489131425[[#This Row],[ADET]]*Tablo13489131425[[#This Row],[ALIŞ]]+1.5,0)</calculatedColumnFormula>
    </tableColumn>
    <tableColumn id="7" xr3:uid="{E2715C38-BBD2-4759-A32B-E1FF112CC9B5}" name="SATIŞ TUTAR" dataDxfId="331" dataCellStyle="ParaBirimi">
      <calculatedColumnFormula>IF(Tablo13489131425[[#This Row],[SATIŞ]]&gt;0,(Tablo13489131425[[#This Row],[ADET]]*Tablo13489131425[[#This Row],[SATIŞ]]-1.5),0)</calculatedColumnFormula>
    </tableColumn>
  </tableColumns>
  <tableStyleInfo name="TableStyleLight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BD7A0A7-67C9-4AEA-92C5-5AD62E0E105F}" name="Tablo13426272829303135363738" displayName="Tablo13426272829303135363738" ref="B3:H33" totalsRowShown="0" headerRowDxfId="330" dataDxfId="329" headerRowCellStyle="ParaBirimi" dataCellStyle="ParaBirimi">
  <autoFilter ref="B3:H33" xr:uid="{1E1CC286-A442-4F87-9FA8-B721E3B003F5}">
    <filterColumn colId="4">
      <filters>
        <filter val="Açık"/>
      </filters>
    </filterColumn>
  </autoFilter>
  <tableColumns count="7">
    <tableColumn id="1" xr3:uid="{FE4D574D-DA23-41BA-A7EA-E4F9055220AC}" name="TARİH" dataDxfId="328"/>
    <tableColumn id="2" xr3:uid="{1BED5CE7-E229-4B02-89CA-9E46B76ED408}" name="ADET" dataDxfId="327"/>
    <tableColumn id="3" xr3:uid="{05E221CB-5B3C-497E-9E81-908746E66EA5}" name="ALIŞ" dataDxfId="326" dataCellStyle="ParaBirimi"/>
    <tableColumn id="4" xr3:uid="{A2EAFB76-8881-4D4E-9312-EBEABB171B4B}" name="SATIŞ" dataDxfId="325" dataCellStyle="ParaBirimi"/>
    <tableColumn id="5" xr3:uid="{379E1A70-E455-414E-8454-4A9E242D14FE}" name="KAR" dataDxfId="324" dataCellStyle="ParaBirimi">
      <calculatedColumnFormula>IF(Tablo13426272829303135363738[[#This Row],[SATIŞ]]=0,"Açık",(E4-D4)*C4-3)</calculatedColumnFormula>
    </tableColumn>
    <tableColumn id="6" xr3:uid="{B009842D-694D-4A68-8767-5DE4DF8B709F}" name="ALIŞ TUTAR" dataDxfId="323" dataCellStyle="ParaBirimi">
      <calculatedColumnFormula>IF(Tablo13426272829303135363738[[#This Row],[ALIŞ]]&gt;0,Tablo13426272829303135363738[[#This Row],[ADET]]*Tablo13426272829303135363738[[#This Row],[ALIŞ]]+1.5,0)</calculatedColumnFormula>
    </tableColumn>
    <tableColumn id="7" xr3:uid="{0F401F27-A5EA-4072-AE8E-7CB712A2DD8A}" name="SATIŞ TUTAR" dataDxfId="322" dataCellStyle="ParaBirimi">
      <calculatedColumnFormula>IF(Tablo13426272829303135363738[[#This Row],[SATIŞ]]&gt;0,(Tablo13426272829303135363738[[#This Row],[ADET]]*Tablo13426272829303135363738[[#This Row],[SATIŞ]]-1.5),0)</calculatedColumnFormula>
    </tableColumn>
  </tableColumns>
  <tableStyleInfo name="TableStyleLight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400B47-711E-43E1-B55B-4555EF66B49F}" name="Tablo1347" displayName="Tablo1347" ref="B3:H27" totalsRowShown="0" headerRowDxfId="321" dataDxfId="320" headerRowCellStyle="ParaBirimi" dataCellStyle="ParaBirimi">
  <autoFilter ref="B3:H27" xr:uid="{1E1CC286-A442-4F87-9FA8-B721E3B003F5}"/>
  <tableColumns count="7">
    <tableColumn id="1" xr3:uid="{41B74AF4-B7D8-4D07-9F98-F3A63F4F58D5}" name="TARİH" dataDxfId="319"/>
    <tableColumn id="2" xr3:uid="{A99E76DD-12FD-4E20-BD88-CF80B4A3F861}" name="ADET" dataDxfId="318"/>
    <tableColumn id="3" xr3:uid="{0B87A383-EB7E-4A87-BF68-722C1820E736}" name="ALIŞ" dataDxfId="317" dataCellStyle="ParaBirimi"/>
    <tableColumn id="4" xr3:uid="{A358F1CC-97D0-45FD-862E-8049168AB4D2}" name="SATIŞ" dataDxfId="316" dataCellStyle="ParaBirimi"/>
    <tableColumn id="5" xr3:uid="{AAB80E69-6986-4F71-91C3-876BA27A172A}" name="KAR" dataDxfId="315" dataCellStyle="ParaBirimi">
      <calculatedColumnFormula>IF(Tablo1347[[#This Row],[SATIŞ]]=0,"Açık",(E4-D4)*C4-3)</calculatedColumnFormula>
    </tableColumn>
    <tableColumn id="6" xr3:uid="{8E3D300A-DC5D-4AA3-B1F4-6A95AC65D30F}" name="ALIŞ TUTAR" dataDxfId="314" dataCellStyle="ParaBirimi">
      <calculatedColumnFormula>IF(Tablo1347[[#This Row],[ALIŞ]]&gt;0,Tablo1347[[#This Row],[ADET]]*Tablo1347[[#This Row],[ALIŞ]]+1.5,0)</calculatedColumnFormula>
    </tableColumn>
    <tableColumn id="7" xr3:uid="{345584A0-4C1F-4CC0-B713-43D4FC61A5B2}" name="SATIŞ TUTAR" dataDxfId="313" dataCellStyle="ParaBirimi">
      <calculatedColumnFormula>IF(Tablo1347[[#This Row],[SATIŞ]]&gt;0,(Tablo1347[[#This Row],[ADET]]*Tablo1347[[#This Row],[SATIŞ]]-1.5),0)</calculatedColumnFormula>
    </tableColumn>
  </tableColumns>
  <tableStyleInfo name="TableStyleLight1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7E5D4B-BAF8-43B5-BF23-EC77252C91D6}" name="Tablo134710" displayName="Tablo134710" ref="B3:H27" totalsRowShown="0" headerRowDxfId="312" dataDxfId="311" headerRowCellStyle="ParaBirimi" dataCellStyle="ParaBirimi">
  <autoFilter ref="B3:H27" xr:uid="{1E1CC286-A442-4F87-9FA8-B721E3B003F5}"/>
  <tableColumns count="7">
    <tableColumn id="1" xr3:uid="{A0399C88-51C4-492A-BFA7-59299F51C594}" name="TARİH" dataDxfId="310"/>
    <tableColumn id="2" xr3:uid="{0BBBA8E6-28EE-4DDB-9162-1F269F831B09}" name="ADET" dataDxfId="309"/>
    <tableColumn id="3" xr3:uid="{56F92584-A61B-418C-B692-0C7A9007FA6F}" name="ALIŞ" dataDxfId="308" dataCellStyle="ParaBirimi"/>
    <tableColumn id="4" xr3:uid="{9EFF9340-7F58-42D2-936C-CD1FB686962A}" name="SATIŞ" dataDxfId="307" dataCellStyle="ParaBirimi"/>
    <tableColumn id="5" xr3:uid="{123F119E-6722-43F5-BE18-D04F0FE68BDA}" name="KAR" dataDxfId="306" dataCellStyle="ParaBirimi">
      <calculatedColumnFormula>IF(Tablo134710[[#This Row],[SATIŞ]]=0,"Açık",(E4-D4)*C4-3)</calculatedColumnFormula>
    </tableColumn>
    <tableColumn id="6" xr3:uid="{B42A918E-B7DA-48D6-A9D1-90C1710D81C3}" name="ALIŞ TUTAR" dataDxfId="305" dataCellStyle="ParaBirimi">
      <calculatedColumnFormula>IF(Tablo134710[[#This Row],[ALIŞ]]&gt;0,Tablo134710[[#This Row],[ADET]]*Tablo134710[[#This Row],[ALIŞ]]+1.5,0)</calculatedColumnFormula>
    </tableColumn>
    <tableColumn id="7" xr3:uid="{7E04C251-8856-473E-9F5F-AD4AEFD948BC}" name="SATIŞ TUTAR" dataDxfId="304" dataCellStyle="ParaBirimi">
      <calculatedColumnFormula>IF(Tablo134710[[#This Row],[SATIŞ]]&gt;0,(Tablo134710[[#This Row],[ADET]]*Tablo134710[[#This Row],[SATIŞ]]-1.5),0)</calculatedColumnFormula>
    </tableColumn>
  </tableColumns>
  <tableStyleInfo name="TableStyleLight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09D8E29-F4B3-4114-989F-2A9A28A48CA2}" name="Tablo1342627282930" displayName="Tablo1342627282930" ref="B3:H27" totalsRowShown="0" headerRowDxfId="303" dataDxfId="302" headerRowCellStyle="ParaBirimi" dataCellStyle="ParaBirimi">
  <autoFilter ref="B3:H27" xr:uid="{1E1CC286-A442-4F87-9FA8-B721E3B003F5}"/>
  <tableColumns count="7">
    <tableColumn id="1" xr3:uid="{16BD179C-5325-47CC-BD94-2A9669ED098C}" name="TARİH" dataDxfId="301"/>
    <tableColumn id="2" xr3:uid="{3467EE4F-7FDA-46C6-8185-F3044869AA12}" name="ADET" dataDxfId="300"/>
    <tableColumn id="3" xr3:uid="{E70DFE9A-3A58-44C5-8614-938FC037F833}" name="ALIŞ" dataDxfId="299" dataCellStyle="ParaBirimi"/>
    <tableColumn id="4" xr3:uid="{93F84E1B-BE07-4B23-8682-E7F07F30D306}" name="SATIŞ" dataDxfId="298" dataCellStyle="ParaBirimi"/>
    <tableColumn id="5" xr3:uid="{51C7D96A-FC5D-4032-8403-9AABFDA97E83}" name="KAR" dataDxfId="297" dataCellStyle="ParaBirimi">
      <calculatedColumnFormula>IF(Tablo1342627282930[[#This Row],[SATIŞ]]=0,"Açık",(E4-D4)*C4-3)</calculatedColumnFormula>
    </tableColumn>
    <tableColumn id="6" xr3:uid="{D2119F42-F044-43CD-A6C8-90AB7A4D148E}" name="ALIŞ TUTAR" dataDxfId="296" dataCellStyle="ParaBirimi">
      <calculatedColumnFormula>IF(Tablo1342627282930[[#This Row],[ALIŞ]]&gt;0,Tablo1342627282930[[#This Row],[ADET]]*Tablo1342627282930[[#This Row],[ALIŞ]]+1.5,0)</calculatedColumnFormula>
    </tableColumn>
    <tableColumn id="7" xr3:uid="{A9431206-6F50-49EC-859C-0794252E602F}" name="SATIŞ TUTAR" dataDxfId="295" dataCellStyle="ParaBirimi">
      <calculatedColumnFormula>IF(Tablo1342627282930[[#This Row],[SATIŞ]]&gt;0,(Tablo1342627282930[[#This Row],[ADET]]*Tablo1342627282930[[#This Row],[SATIŞ]]-1.5),0)</calculatedColumnFormula>
    </tableColumn>
  </tableColumns>
  <tableStyleInfo name="TableStyleLight1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41B7194-701F-44D0-AA06-42FF675F3B36}" name="Tablo1342627" displayName="Tablo1342627" ref="B3:H27" totalsRowShown="0" headerRowDxfId="294" dataDxfId="293" headerRowCellStyle="ParaBirimi" dataCellStyle="ParaBirimi">
  <autoFilter ref="B3:H27" xr:uid="{1E1CC286-A442-4F87-9FA8-B721E3B003F5}"/>
  <tableColumns count="7">
    <tableColumn id="1" xr3:uid="{D23DE960-E07E-4288-82DF-C8ADACF570CF}" name="TARİH" dataDxfId="292"/>
    <tableColumn id="2" xr3:uid="{F22AA71D-A0A7-42B7-BFC2-51110701B5B9}" name="ADET" dataDxfId="291"/>
    <tableColumn id="3" xr3:uid="{D22EC875-3A69-4A75-A96D-2C3E10E07CD5}" name="ALIŞ" dataDxfId="290" dataCellStyle="ParaBirimi"/>
    <tableColumn id="4" xr3:uid="{10FD65A7-5C14-4D5A-9061-A8C13266BE14}" name="SATIŞ" dataDxfId="289" dataCellStyle="ParaBirimi"/>
    <tableColumn id="5" xr3:uid="{D21E7BD2-8FE7-458E-981A-D7A27344AFC3}" name="KAR" dataDxfId="288" dataCellStyle="ParaBirimi">
      <calculatedColumnFormula>IF(Tablo1342627[[#This Row],[SATIŞ]]=0,"Açık",(E4-D4)*C4-3)</calculatedColumnFormula>
    </tableColumn>
    <tableColumn id="6" xr3:uid="{F5B42E36-6A37-465C-B936-F08C0A6781AF}" name="ALIŞ TUTAR" dataDxfId="287" dataCellStyle="ParaBirimi">
      <calculatedColumnFormula>IF(Tablo1342627[[#This Row],[ALIŞ]]&gt;0,Tablo1342627[[#This Row],[ADET]]*Tablo1342627[[#This Row],[ALIŞ]]+1.5,0)</calculatedColumnFormula>
    </tableColumn>
    <tableColumn id="7" xr3:uid="{AAE814EF-7898-4D4C-9602-3A87F32A84A4}" name="SATIŞ TUTAR" dataDxfId="286" dataCellStyle="ParaBirimi">
      <calculatedColumnFormula>IF(Tablo1342627[[#This Row],[SATIŞ]]&gt;0,(Tablo1342627[[#This Row],[ADET]]*Tablo1342627[[#This Row],[SATIŞ]]-1.5),0)</calculatedColumnFormula>
    </tableColumn>
  </tableColumns>
  <tableStyleInfo name="TableStyleLight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7A98E6-FA02-4935-BE51-7A4E29B5863C}" name="Tablo13" displayName="Tablo13" ref="B3:H27" totalsRowShown="0" headerRowDxfId="285" dataDxfId="284" headerRowCellStyle="ParaBirimi" dataCellStyle="ParaBirimi">
  <autoFilter ref="B3:H27" xr:uid="{1E1CC286-A442-4F87-9FA8-B721E3B003F5}"/>
  <tableColumns count="7">
    <tableColumn id="1" xr3:uid="{D3770123-7163-44A2-9C51-FCDAC06DAA65}" name="TARİH" dataDxfId="283"/>
    <tableColumn id="2" xr3:uid="{80D7C033-3142-4E45-AC5F-02EF969101A0}" name="ADET" dataDxfId="282"/>
    <tableColumn id="3" xr3:uid="{B3DDD0D0-6DDA-417E-8D64-383363A4340F}" name="ALIŞ" dataDxfId="281" dataCellStyle="ParaBirimi"/>
    <tableColumn id="4" xr3:uid="{17DBD121-9FEA-4F00-A8F2-FA164E3073E1}" name="SATIŞ" dataDxfId="280" dataCellStyle="ParaBirimi"/>
    <tableColumn id="5" xr3:uid="{1605FB52-A3AC-4BFE-B8D2-B3E3DE3F8308}" name="KAR" dataDxfId="279" dataCellStyle="ParaBirimi">
      <calculatedColumnFormula>IF(Tablo13[[#This Row],[SATIŞ]]=0,"Açık",(E4-D4)*C4-3)</calculatedColumnFormula>
    </tableColumn>
    <tableColumn id="6" xr3:uid="{95256B79-FB5A-42F7-833B-8D259ADEA573}" name="ALIŞ TUTAR" dataDxfId="278" dataCellStyle="ParaBirimi">
      <calculatedColumnFormula>IF(Tablo13[[#This Row],[ALIŞ]]&gt;0,Tablo13[[#This Row],[ADET]]*Tablo13[[#This Row],[ALIŞ]]+1.5,0)</calculatedColumnFormula>
    </tableColumn>
    <tableColumn id="7" xr3:uid="{707A3D54-E041-44AC-99D4-B883E43D099F}" name="SATIŞ TUTAR" dataDxfId="277" dataCellStyle="ParaBirimi">
      <calculatedColumnFormula>IF(Tablo13[[#This Row],[SATIŞ]]&gt;0,(Tablo13[[#This Row],[ADET]]*Tablo13[[#This Row],[SATIŞ]]-1.5),0)</calculatedColumnFormula>
    </tableColumn>
  </tableColumns>
  <tableStyleInfo name="TableStyleLight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C9C07CE-129A-448A-8407-949E3DB25242}" name="Tablo134262728293031323334" displayName="Tablo134262728293031323334" ref="B3:H27" totalsRowShown="0" headerRowDxfId="276" dataDxfId="275" headerRowCellStyle="ParaBirimi" dataCellStyle="ParaBirimi">
  <autoFilter ref="B3:H27" xr:uid="{1E1CC286-A442-4F87-9FA8-B721E3B003F5}"/>
  <tableColumns count="7">
    <tableColumn id="1" xr3:uid="{EC7F12F3-267B-4419-9AB8-020ACE59960B}" name="TARİH" dataDxfId="274"/>
    <tableColumn id="2" xr3:uid="{FA24FF58-B722-4DAC-92AD-DD467BDC5911}" name="ADET" dataDxfId="273"/>
    <tableColumn id="3" xr3:uid="{4BB4BBA1-2235-4161-9B64-129B486B855C}" name="ALIŞ" dataDxfId="272" dataCellStyle="ParaBirimi"/>
    <tableColumn id="4" xr3:uid="{E0A39E7D-B5CA-4C9A-988F-9B0E857CCC84}" name="SATIŞ" dataDxfId="271" dataCellStyle="ParaBirimi"/>
    <tableColumn id="5" xr3:uid="{0FA8B98E-08F1-4A6E-B536-951FD6EF62EA}" name="KAR" dataDxfId="270" dataCellStyle="ParaBirimi">
      <calculatedColumnFormula>IF(Tablo134262728293031323334[[#This Row],[SATIŞ]]=0,"Açık",(E4-D4)*C4-3)</calculatedColumnFormula>
    </tableColumn>
    <tableColumn id="6" xr3:uid="{8C2C9D5D-0FCF-4E2B-9ACD-3CF0424AEE2F}" name="ALIŞ TUTAR" dataDxfId="269" dataCellStyle="ParaBirimi">
      <calculatedColumnFormula>IF(Tablo134262728293031323334[[#This Row],[ALIŞ]]&gt;0,Tablo134262728293031323334[[#This Row],[ADET]]*Tablo134262728293031323334[[#This Row],[ALIŞ]]+1.5,0)</calculatedColumnFormula>
    </tableColumn>
    <tableColumn id="7" xr3:uid="{13A56683-6F89-451C-9B7D-6FB53A29442C}" name="SATIŞ TUTAR" dataDxfId="268" dataCellStyle="ParaBirimi">
      <calculatedColumnFormula>IF(Tablo134262728293031323334[[#This Row],[SATIŞ]]&gt;0,(Tablo134262728293031323334[[#This Row],[ADET]]*Tablo134262728293031323334[[#This Row],[SATIŞ]]-1.5),0)</calculatedColumnFormula>
    </tableColumn>
  </tableColumns>
  <tableStyleInfo name="TableStyleLight1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D17CEFF-2166-4B26-822B-9CA3E0755489}" name="Tablo1342627282930313536" displayName="Tablo1342627282930313536" ref="B3:H27" totalsRowShown="0" headerRowDxfId="267" dataDxfId="266" headerRowCellStyle="ParaBirimi" dataCellStyle="ParaBirimi">
  <autoFilter ref="B3:H27" xr:uid="{1E1CC286-A442-4F87-9FA8-B721E3B003F5}"/>
  <tableColumns count="7">
    <tableColumn id="1" xr3:uid="{19D0ADE0-4858-4D79-9374-236FC7E91FA8}" name="TARİH" dataDxfId="265"/>
    <tableColumn id="2" xr3:uid="{ADC0BA1C-7E73-4C02-9885-43A58DFA2909}" name="ADET" dataDxfId="264"/>
    <tableColumn id="3" xr3:uid="{E79314AF-39B2-4EEA-9924-68F7E83321C3}" name="ALIŞ" dataDxfId="263" dataCellStyle="ParaBirimi"/>
    <tableColumn id="4" xr3:uid="{EB58A549-6131-4882-AEF7-8318872503E6}" name="SATIŞ" dataDxfId="262" dataCellStyle="ParaBirimi"/>
    <tableColumn id="5" xr3:uid="{90271EAE-5C98-4CDA-B22C-C0B6C5EE5676}" name="KAR" dataDxfId="261" dataCellStyle="ParaBirimi">
      <calculatedColumnFormula>IF(Tablo1342627282930313536[[#This Row],[SATIŞ]]=0,"Açık",(E4-D4)*C4-3)</calculatedColumnFormula>
    </tableColumn>
    <tableColumn id="6" xr3:uid="{B5489E67-3240-4D78-A108-A6077BD1DCE4}" name="ALIŞ TUTAR" dataDxfId="260" dataCellStyle="ParaBirimi">
      <calculatedColumnFormula>IF(Tablo1342627282930313536[[#This Row],[ALIŞ]]&gt;0,Tablo1342627282930313536[[#This Row],[ADET]]*Tablo1342627282930313536[[#This Row],[ALIŞ]]+1.5,0)</calculatedColumnFormula>
    </tableColumn>
    <tableColumn id="7" xr3:uid="{39E8E58B-8680-4742-85E1-AC6FB0BF168F}" name="SATIŞ TUTAR" dataDxfId="259" dataCellStyle="ParaBirimi">
      <calculatedColumnFormula>IF(Tablo1342627282930313536[[#This Row],[SATIŞ]]&gt;0,(Tablo1342627282930313536[[#This Row],[ADET]]*Tablo1342627282930313536[[#This Row],[SATIŞ]]-1.5),0)</calculatedColumnFormula>
    </tableColumn>
  </tableColumns>
  <tableStyleInfo name="TableStyleLight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B5EB23-8EE1-492F-BFC4-5328CCDAD21F}" name="Tablo13489131415161718" displayName="Tablo13489131415161718" ref="B3:H27" totalsRowShown="0" headerRowDxfId="258" dataDxfId="257" headerRowCellStyle="ParaBirimi" dataCellStyle="ParaBirimi">
  <autoFilter ref="B3:H27" xr:uid="{1E1CC286-A442-4F87-9FA8-B721E3B003F5}"/>
  <tableColumns count="7">
    <tableColumn id="1" xr3:uid="{D2190249-7988-4FBD-8339-4ECE086068F2}" name="TARİH" dataDxfId="256"/>
    <tableColumn id="2" xr3:uid="{FB99A555-079C-4E23-82FF-8504FD87541D}" name="ADET" dataDxfId="255"/>
    <tableColumn id="3" xr3:uid="{58143819-2AE2-430C-AE68-3E6311F629C1}" name="ALIŞ" dataDxfId="254" dataCellStyle="ParaBirimi"/>
    <tableColumn id="4" xr3:uid="{A496FB29-4EAF-4501-85F9-ADA910D7B09A}" name="SATIŞ" dataDxfId="253" dataCellStyle="ParaBirimi"/>
    <tableColumn id="5" xr3:uid="{F2001359-1235-4EBB-A361-CED596A4D715}" name="KAR" dataDxfId="252" dataCellStyle="ParaBirimi">
      <calculatedColumnFormula>IF(Tablo13489131415161718[[#This Row],[SATIŞ]]=0,"Açık",(E4-D4)*C4-3)</calculatedColumnFormula>
    </tableColumn>
    <tableColumn id="6" xr3:uid="{C6C83128-200A-47B8-86E2-FD0AB0FE56C2}" name="ALIŞ TUTAR" dataDxfId="251" dataCellStyle="ParaBirimi">
      <calculatedColumnFormula>IF(Tablo13489131415161718[[#This Row],[ALIŞ]]&gt;0,Tablo13489131415161718[[#This Row],[ADET]]*Tablo13489131415161718[[#This Row],[ALIŞ]]+1.5,0)</calculatedColumnFormula>
    </tableColumn>
    <tableColumn id="7" xr3:uid="{63C77036-5F3F-46FA-B4E9-DEB00A564D89}" name="SATIŞ TUTAR" dataDxfId="250" dataCellStyle="ParaBirimi">
      <calculatedColumnFormula>IF(Tablo13489131415161718[[#This Row],[SATIŞ]]&gt;0,(Tablo13489131415161718[[#This Row],[ADET]]*Tablo13489131415161718[[#This Row],[SATIŞ]]-1.5),0)</calculatedColumnFormula>
    </tableColumn>
  </tableColumns>
  <tableStyleInfo name="TableStyleLight1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51220C7-81A9-4637-9F0E-D3BCC5E71E87}" name="Tablo134891314151617181920" displayName="Tablo134891314151617181920" ref="B3:H27" totalsRowShown="0" headerRowDxfId="249" dataDxfId="248" headerRowCellStyle="ParaBirimi" dataCellStyle="ParaBirimi">
  <autoFilter ref="B3:H27" xr:uid="{1E1CC286-A442-4F87-9FA8-B721E3B003F5}"/>
  <tableColumns count="7">
    <tableColumn id="1" xr3:uid="{00F3F524-D6B2-4072-9044-393113BDF384}" name="TARİH" dataDxfId="247"/>
    <tableColumn id="2" xr3:uid="{7349B995-2E6A-46F1-8184-27B3935430CD}" name="ADET" dataDxfId="246"/>
    <tableColumn id="3" xr3:uid="{154FAF73-0D5A-4CD7-A827-7D35E5A44DEC}" name="ALIŞ" dataDxfId="245" dataCellStyle="ParaBirimi"/>
    <tableColumn id="4" xr3:uid="{B8133879-6346-4CC4-8A5B-5967D142A324}" name="SATIŞ" dataDxfId="244" dataCellStyle="ParaBirimi"/>
    <tableColumn id="5" xr3:uid="{63528A09-ECBB-492F-BFF3-67D4A675E883}" name="KAR" dataDxfId="243" dataCellStyle="ParaBirimi">
      <calculatedColumnFormula>IF(Tablo134891314151617181920[[#This Row],[SATIŞ]]=0,"Açık",(E4-D4)*C4-3)</calculatedColumnFormula>
    </tableColumn>
    <tableColumn id="6" xr3:uid="{7892F1B0-2212-42A3-9784-6D46FCC95ABC}" name="ALIŞ TUTAR" dataDxfId="242" dataCellStyle="ParaBirimi">
      <calculatedColumnFormula>IF(Tablo134891314151617181920[[#This Row],[ALIŞ]]&gt;0,Tablo134891314151617181920[[#This Row],[ADET]]*Tablo134891314151617181920[[#This Row],[ALIŞ]]+1.5,0)</calculatedColumnFormula>
    </tableColumn>
    <tableColumn id="7" xr3:uid="{9F33B15B-600B-4021-B310-0F5E52E3ED2B}" name="SATIŞ TUTAR" dataDxfId="241" dataCellStyle="ParaBirimi">
      <calculatedColumnFormula>IF(Tablo134891314151617181920[[#This Row],[SATIŞ]]&gt;0,(Tablo134891314151617181920[[#This Row],[ADET]]*Tablo134891314151617181920[[#This Row],[SATIŞ]]-1.5),0)</calculatedColumnFormula>
    </tableColumn>
  </tableColumns>
  <tableStyleInfo name="TableStyleLight1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CDD6B86-C95D-42A2-A936-D90D1CB967D6}" name="Tablo13426272829" displayName="Tablo13426272829" ref="B3:H27" totalsRowShown="0" headerRowDxfId="240" dataDxfId="239" headerRowCellStyle="ParaBirimi" dataCellStyle="ParaBirimi">
  <autoFilter ref="B3:H27" xr:uid="{1E1CC286-A442-4F87-9FA8-B721E3B003F5}"/>
  <tableColumns count="7">
    <tableColumn id="1" xr3:uid="{41491493-FD64-4E21-9BAA-E95DC155F010}" name="TARİH" dataDxfId="238"/>
    <tableColumn id="2" xr3:uid="{0640231F-6A40-44A7-AFA8-0F18D7704395}" name="ADET" dataDxfId="237"/>
    <tableColumn id="3" xr3:uid="{6DF18FDB-D723-4886-B001-8A59C40851AC}" name="ALIŞ" dataDxfId="236" dataCellStyle="ParaBirimi"/>
    <tableColumn id="4" xr3:uid="{C8875FF6-32F5-4D28-84F7-9479897145B0}" name="SATIŞ" dataDxfId="235" dataCellStyle="ParaBirimi"/>
    <tableColumn id="5" xr3:uid="{5E5B9F96-CBC8-4432-9F27-066045C8A7CF}" name="KAR" dataDxfId="234" dataCellStyle="ParaBirimi">
      <calculatedColumnFormula>IF(Tablo13426272829[[#This Row],[SATIŞ]]=0,"Açık",(E4-D4)*C4-3)</calculatedColumnFormula>
    </tableColumn>
    <tableColumn id="6" xr3:uid="{298620F5-11B2-4B1C-B370-A0637A9C3384}" name="ALIŞ TUTAR" dataDxfId="233" dataCellStyle="ParaBirimi">
      <calculatedColumnFormula>IF(Tablo13426272829[[#This Row],[ALIŞ]]&gt;0,Tablo13426272829[[#This Row],[ADET]]*Tablo13426272829[[#This Row],[ALIŞ]]+1.5,0)</calculatedColumnFormula>
    </tableColumn>
    <tableColumn id="7" xr3:uid="{9EE6D38B-23D2-4864-93E1-3FCE399E1682}" name="SATIŞ TUTAR" dataDxfId="232" dataCellStyle="ParaBirimi">
      <calculatedColumnFormula>IF(Tablo13426272829[[#This Row],[SATIŞ]]&gt;0,(Tablo13426272829[[#This Row],[ADET]]*Tablo13426272829[[#This Row],[SATIŞ]]-1.5),0)</calculatedColumnFormula>
    </tableColumn>
  </tableColumns>
  <tableStyleInfo name="TableStyleLight1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CE90829-BA95-4546-8ADA-00B6D070B42D}" name="Tablo134262728293031" displayName="Tablo134262728293031" ref="B3:H27" totalsRowShown="0" headerRowDxfId="231" dataDxfId="230" headerRowCellStyle="ParaBirimi" dataCellStyle="ParaBirimi">
  <autoFilter ref="B3:H27" xr:uid="{1E1CC286-A442-4F87-9FA8-B721E3B003F5}"/>
  <tableColumns count="7">
    <tableColumn id="1" xr3:uid="{4F24045D-DB76-4800-8A0D-A1BE8782EBE4}" name="TARİH" dataDxfId="229"/>
    <tableColumn id="2" xr3:uid="{98F60416-5941-4A35-8F6C-B4575F19D781}" name="ADET" dataDxfId="228"/>
    <tableColumn id="3" xr3:uid="{FBDDEDEF-DADE-4C5B-993D-7D77686C1092}" name="ALIŞ" dataDxfId="227" dataCellStyle="ParaBirimi"/>
    <tableColumn id="4" xr3:uid="{6B0D3B3F-DCD5-4C3D-9C02-F25EB4704213}" name="SATIŞ" dataDxfId="226" dataCellStyle="ParaBirimi"/>
    <tableColumn id="5" xr3:uid="{38040905-5702-4A21-8EA2-CB818158C8BE}" name="KAR" dataDxfId="225" dataCellStyle="ParaBirimi">
      <calculatedColumnFormula>IF(Tablo134262728293031[[#This Row],[SATIŞ]]=0,"Açık",(E4-D4)*C4-3)</calculatedColumnFormula>
    </tableColumn>
    <tableColumn id="6" xr3:uid="{BF353B7A-13E9-46DF-A8F2-D9D471FAEF3D}" name="ALIŞ TUTAR" dataDxfId="224" dataCellStyle="ParaBirimi">
      <calculatedColumnFormula>IF(Tablo134262728293031[[#This Row],[ALIŞ]]&gt;0,Tablo134262728293031[[#This Row],[ADET]]*Tablo134262728293031[[#This Row],[ALIŞ]]+1.5,0)</calculatedColumnFormula>
    </tableColumn>
    <tableColumn id="7" xr3:uid="{49C250E3-6583-43DE-8234-AAEB818A2890}" name="SATIŞ TUTAR" dataDxfId="223" dataCellStyle="ParaBirimi">
      <calculatedColumnFormula>IF(Tablo134262728293031[[#This Row],[SATIŞ]]&gt;0,(Tablo134262728293031[[#This Row],[ADET]]*Tablo134262728293031[[#This Row],[SATIŞ]]-1.5),0)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54DB-E228-4C9D-AF8F-5FDE5834A319}">
  <dimension ref="B1:K39"/>
  <sheetViews>
    <sheetView showGridLines="0" tabSelected="1" workbookViewId="0">
      <pane ySplit="2" topLeftCell="A3" activePane="bottomLeft" state="frozen"/>
      <selection pane="bottomLeft" activeCell="K6" sqref="K6"/>
    </sheetView>
  </sheetViews>
  <sheetFormatPr defaultRowHeight="21" customHeight="1" x14ac:dyDescent="0.3"/>
  <cols>
    <col min="1" max="1" width="1.44140625" style="22" customWidth="1"/>
    <col min="2" max="2" width="16.33203125" style="20" customWidth="1"/>
    <col min="3" max="3" width="8.88671875" style="21"/>
    <col min="4" max="4" width="12.33203125" style="20" customWidth="1"/>
    <col min="5" max="5" width="12.33203125" style="22" customWidth="1"/>
    <col min="6" max="6" width="15.77734375" style="20" customWidth="1"/>
    <col min="7" max="7" width="14.77734375" style="20" customWidth="1"/>
    <col min="8" max="9" width="8.88671875" style="22"/>
    <col min="10" max="10" width="10.44140625" style="22" customWidth="1"/>
    <col min="11" max="11" width="18.33203125" style="22" customWidth="1"/>
    <col min="12" max="16384" width="8.88671875" style="22"/>
  </cols>
  <sheetData>
    <row r="1" spans="2:11" ht="16.2" customHeight="1" x14ac:dyDescent="0.3"/>
    <row r="2" spans="2:11" s="23" customFormat="1" ht="18" x14ac:dyDescent="0.3">
      <c r="B2" s="23" t="s">
        <v>8</v>
      </c>
      <c r="C2" s="24" t="s">
        <v>2</v>
      </c>
      <c r="D2" s="24" t="s">
        <v>9</v>
      </c>
      <c r="E2" s="24" t="s">
        <v>10</v>
      </c>
      <c r="F2" s="24" t="s">
        <v>11</v>
      </c>
      <c r="G2" s="24" t="s">
        <v>12</v>
      </c>
      <c r="K2" s="28"/>
    </row>
    <row r="3" spans="2:11" ht="21" customHeight="1" x14ac:dyDescent="0.3">
      <c r="B3" t="s">
        <v>20</v>
      </c>
      <c r="C3" s="26">
        <f>+AAPL!C1</f>
        <v>0</v>
      </c>
      <c r="D3" s="29" t="str">
        <f>+AAPL!F1</f>
        <v/>
      </c>
      <c r="E3" s="30">
        <v>41.66</v>
      </c>
      <c r="F3" s="29">
        <f t="shared" ref="F3:F16" si="0">E3*C3</f>
        <v>0</v>
      </c>
      <c r="G3" s="29">
        <f>+AAPL!G1</f>
        <v>45.06</v>
      </c>
      <c r="I3" s="27" t="s">
        <v>13</v>
      </c>
      <c r="J3" s="27"/>
      <c r="K3" s="28">
        <f>50600-15000</f>
        <v>35600</v>
      </c>
    </row>
    <row r="4" spans="2:11" ht="21" customHeight="1" x14ac:dyDescent="0.3">
      <c r="B4" t="s">
        <v>21</v>
      </c>
      <c r="C4" s="26">
        <f>+ADD!C1</f>
        <v>0</v>
      </c>
      <c r="D4" s="29" t="str">
        <f>+ADD!F1</f>
        <v/>
      </c>
      <c r="E4" s="30">
        <v>70.150000000000006</v>
      </c>
      <c r="F4" s="29">
        <f t="shared" si="0"/>
        <v>0</v>
      </c>
      <c r="G4" s="29">
        <f>+ADD!G1</f>
        <v>1.5500000000000043</v>
      </c>
      <c r="I4" s="27" t="s">
        <v>14</v>
      </c>
      <c r="J4" s="27"/>
      <c r="K4" s="28">
        <f>SUM(Tablo2[GÜNCEL TUTAT])</f>
        <v>19918.894100000001</v>
      </c>
    </row>
    <row r="5" spans="2:11" ht="21" customHeight="1" x14ac:dyDescent="0.3">
      <c r="B5" t="s">
        <v>22</v>
      </c>
      <c r="C5" s="26">
        <f>+AMD!C1</f>
        <v>10</v>
      </c>
      <c r="D5" s="29">
        <f>+AMD!F1</f>
        <v>125.84799999999996</v>
      </c>
      <c r="E5" s="30">
        <v>205.13</v>
      </c>
      <c r="F5" s="29">
        <f t="shared" si="0"/>
        <v>2051.3000000000002</v>
      </c>
      <c r="G5" s="29">
        <f>+AMD!G1</f>
        <v>792.82000000000039</v>
      </c>
      <c r="I5" s="27" t="s">
        <v>15</v>
      </c>
      <c r="J5" s="27"/>
      <c r="K5" s="28">
        <v>20198.03</v>
      </c>
    </row>
    <row r="6" spans="2:11" ht="21" customHeight="1" x14ac:dyDescent="0.3">
      <c r="B6" t="s">
        <v>23</v>
      </c>
      <c r="C6" s="26">
        <f>+AMTX!C1</f>
        <v>0</v>
      </c>
      <c r="D6" s="29" t="str">
        <f>+AMTX!F1</f>
        <v/>
      </c>
      <c r="E6" s="30">
        <v>52.4</v>
      </c>
      <c r="F6" s="29">
        <f t="shared" si="0"/>
        <v>0</v>
      </c>
      <c r="G6" s="29">
        <f>+AMTX!G1</f>
        <v>-74</v>
      </c>
      <c r="I6" s="27" t="s">
        <v>16</v>
      </c>
      <c r="J6" s="27"/>
      <c r="K6" s="28">
        <f>+K4+K5-K3</f>
        <v>4516.9241000000038</v>
      </c>
    </row>
    <row r="7" spans="2:11" ht="21" customHeight="1" x14ac:dyDescent="0.3">
      <c r="B7" t="s">
        <v>24</v>
      </c>
      <c r="C7" s="26">
        <f>+AMZN!C1</f>
        <v>0</v>
      </c>
      <c r="D7" s="29" t="str">
        <f>+AMZN!F1</f>
        <v/>
      </c>
      <c r="E7" s="30">
        <v>51.2</v>
      </c>
      <c r="F7" s="29">
        <f t="shared" si="0"/>
        <v>0</v>
      </c>
      <c r="G7" s="29">
        <f>+AMZN!G1</f>
        <v>19.629999999999981</v>
      </c>
      <c r="K7" s="28"/>
    </row>
    <row r="8" spans="2:11" ht="21" customHeight="1" x14ac:dyDescent="0.3">
      <c r="B8" t="s">
        <v>25</v>
      </c>
      <c r="C8" s="26">
        <f>+ASAP!C1</f>
        <v>0</v>
      </c>
      <c r="D8" s="29" t="str">
        <f>+ASAP!F1</f>
        <v/>
      </c>
      <c r="E8" s="30">
        <v>0.08</v>
      </c>
      <c r="F8" s="29">
        <f t="shared" si="0"/>
        <v>0</v>
      </c>
      <c r="G8" s="29">
        <f>+ASAP!G1</f>
        <v>-24.827999999999999</v>
      </c>
      <c r="K8" s="28"/>
    </row>
    <row r="9" spans="2:11" ht="21" customHeight="1" x14ac:dyDescent="0.3">
      <c r="B9" t="s">
        <v>26</v>
      </c>
      <c r="C9" s="26">
        <f>+BBIO!C1</f>
        <v>156</v>
      </c>
      <c r="D9" s="29">
        <f>+BBIO!F1</f>
        <v>30.131025641025644</v>
      </c>
      <c r="E9" s="30">
        <v>29.6</v>
      </c>
      <c r="F9" s="29">
        <f t="shared" si="0"/>
        <v>4617.6000000000004</v>
      </c>
      <c r="G9" s="29">
        <f>+BBIO!G1</f>
        <v>-82.840000000000288</v>
      </c>
      <c r="I9" s="22" t="s">
        <v>17</v>
      </c>
      <c r="K9" s="28"/>
    </row>
    <row r="10" spans="2:11" ht="21" customHeight="1" x14ac:dyDescent="0.3">
      <c r="B10" t="s">
        <v>27</v>
      </c>
      <c r="C10" s="26">
        <f>+BKCH!C1</f>
        <v>40</v>
      </c>
      <c r="D10" s="29">
        <f>+BKCH!F1</f>
        <v>36.037750000000003</v>
      </c>
      <c r="E10" s="30">
        <v>44.12</v>
      </c>
      <c r="F10" s="29">
        <f t="shared" si="0"/>
        <v>1764.8</v>
      </c>
      <c r="G10" s="29">
        <f>+BKCH!G1</f>
        <v>323.28999999999979</v>
      </c>
      <c r="I10" s="22" t="s">
        <v>18</v>
      </c>
      <c r="K10" s="28"/>
    </row>
    <row r="11" spans="2:11" ht="21" customHeight="1" x14ac:dyDescent="0.3">
      <c r="B11" t="s">
        <v>28</v>
      </c>
      <c r="C11" s="26">
        <f>+CAH!C1</f>
        <v>0.75</v>
      </c>
      <c r="D11" s="29">
        <f>+CAH!F1</f>
        <v>-67.549999999999883</v>
      </c>
      <c r="E11" s="30">
        <v>112.92</v>
      </c>
      <c r="F11" s="29">
        <f t="shared" si="0"/>
        <v>84.69</v>
      </c>
      <c r="G11" s="29">
        <f>+CAH!G1</f>
        <v>135.35249999999991</v>
      </c>
      <c r="I11" s="22" t="s">
        <v>19</v>
      </c>
      <c r="K11" s="28"/>
    </row>
    <row r="12" spans="2:11" ht="21" customHeight="1" x14ac:dyDescent="0.3">
      <c r="B12" t="s">
        <v>29</v>
      </c>
      <c r="C12" s="26">
        <f>+CLM!C1</f>
        <v>0</v>
      </c>
      <c r="D12" s="29" t="str">
        <f>+CLM!F1</f>
        <v/>
      </c>
      <c r="E12" s="30">
        <v>142.1</v>
      </c>
      <c r="F12" s="29">
        <f t="shared" si="0"/>
        <v>0</v>
      </c>
      <c r="G12" s="29">
        <f>+CLM!G1</f>
        <v>9.9500000000000064</v>
      </c>
      <c r="K12" s="28"/>
    </row>
    <row r="13" spans="2:11" ht="21" customHeight="1" x14ac:dyDescent="0.3">
      <c r="B13" t="s">
        <v>30</v>
      </c>
      <c r="C13" s="26">
        <f>+COIN!C1</f>
        <v>5</v>
      </c>
      <c r="D13" s="29">
        <f>+COIN!F1</f>
        <v>-161.41374999999971</v>
      </c>
      <c r="E13" s="30">
        <v>216.77</v>
      </c>
      <c r="F13" s="29">
        <f t="shared" si="0"/>
        <v>1083.8500000000001</v>
      </c>
      <c r="G13" s="29">
        <f>+COIN!G1</f>
        <v>1890.9187499999985</v>
      </c>
      <c r="K13" s="28"/>
    </row>
    <row r="14" spans="2:11" ht="21" customHeight="1" x14ac:dyDescent="0.3">
      <c r="B14" t="s">
        <v>31</v>
      </c>
      <c r="C14" s="26">
        <f>+FANG!C1</f>
        <v>0</v>
      </c>
      <c r="D14" s="29" t="str">
        <f>+FANG!F1</f>
        <v/>
      </c>
      <c r="E14" s="30">
        <v>325</v>
      </c>
      <c r="F14" s="29">
        <f>E14*C14</f>
        <v>0</v>
      </c>
      <c r="G14" s="29">
        <f>+FANG!G1</f>
        <v>2</v>
      </c>
      <c r="K14" s="28"/>
    </row>
    <row r="15" spans="2:11" ht="21" customHeight="1" x14ac:dyDescent="0.3">
      <c r="B15" t="s">
        <v>32</v>
      </c>
      <c r="C15" s="26">
        <f>+FNGS!C1</f>
        <v>15</v>
      </c>
      <c r="D15" s="29">
        <f>+FNGS!F1</f>
        <v>38.043333333333337</v>
      </c>
      <c r="E15" s="30">
        <v>42.21</v>
      </c>
      <c r="F15" s="29">
        <f>E15*C15</f>
        <v>633.15</v>
      </c>
      <c r="G15" s="29">
        <f>+FNGS!G1</f>
        <v>62.499999999999964</v>
      </c>
      <c r="K15" s="28"/>
    </row>
    <row r="16" spans="2:11" ht="21" customHeight="1" x14ac:dyDescent="0.3">
      <c r="B16" t="s">
        <v>33</v>
      </c>
      <c r="C16" s="26">
        <f>+FORD!C1</f>
        <v>0</v>
      </c>
      <c r="D16" s="29" t="str">
        <f>+FORD!F1</f>
        <v/>
      </c>
      <c r="E16" s="30">
        <v>271.25</v>
      </c>
      <c r="F16" s="29">
        <f t="shared" si="0"/>
        <v>0</v>
      </c>
      <c r="G16" s="29">
        <f>+FORD!G1</f>
        <v>10.350000000000009</v>
      </c>
    </row>
    <row r="17" spans="2:7" ht="21" customHeight="1" x14ac:dyDescent="0.3">
      <c r="B17" s="25" t="s">
        <v>34</v>
      </c>
      <c r="C17" s="26">
        <f>+GDRX!C1</f>
        <v>0</v>
      </c>
      <c r="D17" s="29" t="str">
        <f>+GDRX!F1</f>
        <v/>
      </c>
      <c r="E17" s="30"/>
      <c r="F17" s="29">
        <f t="shared" ref="F17:F39" si="1">E17*C17</f>
        <v>0</v>
      </c>
      <c r="G17" s="29">
        <f>+GDRX!$G$1</f>
        <v>-2.2000000000000099</v>
      </c>
    </row>
    <row r="18" spans="2:7" ht="21" customHeight="1" x14ac:dyDescent="0.3">
      <c r="B18" s="25" t="s">
        <v>35</v>
      </c>
      <c r="C18" s="26">
        <f>+GE!$C$1</f>
        <v>2</v>
      </c>
      <c r="D18" s="29">
        <f>+GE!$F$1</f>
        <v>80.599999999999966</v>
      </c>
      <c r="E18" s="30">
        <v>157.86000000000001</v>
      </c>
      <c r="F18" s="29">
        <f t="shared" si="1"/>
        <v>315.72000000000003</v>
      </c>
      <c r="G18" s="29">
        <f>+GE!$G$1</f>
        <v>154.5200000000001</v>
      </c>
    </row>
    <row r="19" spans="2:7" ht="21" customHeight="1" x14ac:dyDescent="0.3">
      <c r="B19" s="25" t="s">
        <v>36</v>
      </c>
      <c r="C19" s="26">
        <f>+GNLN!$C$1</f>
        <v>0</v>
      </c>
      <c r="D19" s="29" t="str">
        <f>+GNLN!$F$1</f>
        <v/>
      </c>
      <c r="E19" s="30"/>
      <c r="F19" s="29">
        <f t="shared" si="1"/>
        <v>0</v>
      </c>
      <c r="G19" s="29">
        <f>+GNLN!$G$1</f>
        <v>3.2499999999999982</v>
      </c>
    </row>
    <row r="20" spans="2:7" ht="21" customHeight="1" x14ac:dyDescent="0.3">
      <c r="B20" s="25" t="s">
        <v>49</v>
      </c>
      <c r="C20" s="26">
        <f>+GOOGL!$C$1</f>
        <v>28</v>
      </c>
      <c r="D20" s="29">
        <f>+GOOGL!$F$1</f>
        <v>148.55678571428572</v>
      </c>
      <c r="E20" s="30">
        <v>132.66999999999999</v>
      </c>
      <c r="F20" s="29">
        <f t="shared" si="1"/>
        <v>3714.7599999999998</v>
      </c>
      <c r="G20" s="29">
        <f>+GOOGL!$G$1</f>
        <v>-444.83000000000061</v>
      </c>
    </row>
    <row r="21" spans="2:7" ht="21" customHeight="1" x14ac:dyDescent="0.3">
      <c r="B21" s="25" t="s">
        <v>37</v>
      </c>
      <c r="C21" s="26">
        <f>+JEPI!$C$1</f>
        <v>0</v>
      </c>
      <c r="D21" s="29" t="str">
        <f>+JEPI!$F$1</f>
        <v/>
      </c>
      <c r="E21" s="30">
        <v>56.77</v>
      </c>
      <c r="F21" s="29">
        <f t="shared" si="1"/>
        <v>0</v>
      </c>
      <c r="G21" s="29">
        <f>+JEPI!$G$1</f>
        <v>15.54000000000002</v>
      </c>
    </row>
    <row r="22" spans="2:7" ht="21" customHeight="1" x14ac:dyDescent="0.3">
      <c r="B22" s="25" t="s">
        <v>38</v>
      </c>
      <c r="C22" s="26">
        <f>+HEPS!$C$1</f>
        <v>1</v>
      </c>
      <c r="D22" s="29">
        <f>+HEPS!$F$1</f>
        <v>-0.45100000000002183</v>
      </c>
      <c r="E22" s="30">
        <v>1.45</v>
      </c>
      <c r="F22" s="29">
        <f t="shared" si="1"/>
        <v>1.45</v>
      </c>
      <c r="G22" s="29">
        <f>+HEPS!$G$1</f>
        <v>1.9010000000000218</v>
      </c>
    </row>
    <row r="23" spans="2:7" ht="21" customHeight="1" x14ac:dyDescent="0.3">
      <c r="B23" s="25" t="s">
        <v>39</v>
      </c>
      <c r="C23" s="26">
        <f>+KHC!$C$1</f>
        <v>0</v>
      </c>
      <c r="D23" s="29" t="str">
        <f>+KHC!$F$1</f>
        <v/>
      </c>
      <c r="E23" s="30"/>
      <c r="F23" s="29">
        <f t="shared" si="1"/>
        <v>0</v>
      </c>
      <c r="G23" s="29">
        <f>+KHC!$G$1</f>
        <v>5.3100000000000023</v>
      </c>
    </row>
    <row r="24" spans="2:7" ht="21" customHeight="1" x14ac:dyDescent="0.3">
      <c r="B24" s="25" t="s">
        <v>40</v>
      </c>
      <c r="C24" s="26">
        <f>+MDT!$C$1</f>
        <v>0</v>
      </c>
      <c r="D24" s="29" t="str">
        <f>+MDT!$F$1</f>
        <v/>
      </c>
      <c r="E24" s="30"/>
      <c r="F24" s="29">
        <f t="shared" si="1"/>
        <v>0</v>
      </c>
      <c r="G24" s="29">
        <f>+MDT!$G$1</f>
        <v>22.460000000000008</v>
      </c>
    </row>
    <row r="25" spans="2:7" ht="21" customHeight="1" x14ac:dyDescent="0.3">
      <c r="B25" s="25" t="s">
        <v>50</v>
      </c>
      <c r="C25" s="26">
        <f>+NAMS!$C$1</f>
        <v>0</v>
      </c>
      <c r="D25" s="29" t="str">
        <f>+NAMS!$F$1</f>
        <v/>
      </c>
      <c r="E25" s="30"/>
      <c r="F25" s="29">
        <f t="shared" si="1"/>
        <v>0</v>
      </c>
      <c r="G25" s="29">
        <f>+NAMS!$G$1</f>
        <v>20.550000000000004</v>
      </c>
    </row>
    <row r="26" spans="2:7" ht="21" customHeight="1" x14ac:dyDescent="0.3">
      <c r="B26" s="25" t="s">
        <v>41</v>
      </c>
      <c r="C26" s="26">
        <f>+NIO!$C$1</f>
        <v>55</v>
      </c>
      <c r="D26" s="29">
        <f>+NIO!$F$1</f>
        <v>6.2981818181818179</v>
      </c>
      <c r="E26" s="30">
        <v>5.48</v>
      </c>
      <c r="F26" s="29">
        <f t="shared" si="1"/>
        <v>301.40000000000003</v>
      </c>
      <c r="G26" s="29">
        <f>+NIO!$G$1</f>
        <v>-44.999999999999957</v>
      </c>
    </row>
    <row r="27" spans="2:7" ht="21" customHeight="1" x14ac:dyDescent="0.3">
      <c r="B27" s="25" t="s">
        <v>42</v>
      </c>
      <c r="C27" s="26">
        <f>+NKLA!$C$1</f>
        <v>313</v>
      </c>
      <c r="D27" s="29">
        <f>+NKLA!$F$1</f>
        <v>0.76578274760383391</v>
      </c>
      <c r="E27" s="30">
        <v>0.67569999999999997</v>
      </c>
      <c r="F27" s="29">
        <f t="shared" si="1"/>
        <v>211.4941</v>
      </c>
      <c r="G27" s="29">
        <f>+NKLA!$G$1</f>
        <v>-28.195900000000027</v>
      </c>
    </row>
    <row r="28" spans="2:7" ht="21" customHeight="1" x14ac:dyDescent="0.3">
      <c r="B28" s="25" t="s">
        <v>43</v>
      </c>
      <c r="C28" s="26">
        <f>+NVDA!$C$1</f>
        <v>1</v>
      </c>
      <c r="D28" s="29">
        <f>+NVDA!$F$1</f>
        <v>-694.43000000000029</v>
      </c>
      <c r="E28" s="30">
        <v>859.64</v>
      </c>
      <c r="F28" s="29">
        <f t="shared" si="1"/>
        <v>859.64</v>
      </c>
      <c r="G28" s="29">
        <f>+NVDA!$G$1</f>
        <v>1554.0700000000002</v>
      </c>
    </row>
    <row r="29" spans="2:7" ht="21" customHeight="1" x14ac:dyDescent="0.3">
      <c r="B29" s="25" t="s">
        <v>44</v>
      </c>
      <c r="C29" s="26">
        <f>+ORCL!$C$1</f>
        <v>0</v>
      </c>
      <c r="D29" s="29" t="str">
        <f>+ORCL!$F$1</f>
        <v/>
      </c>
      <c r="E29" s="30"/>
      <c r="F29" s="29">
        <f t="shared" si="1"/>
        <v>0</v>
      </c>
      <c r="G29" s="29">
        <f>+ORCL!$G$1</f>
        <v>16.530000000000015</v>
      </c>
    </row>
    <row r="30" spans="2:7" ht="21" customHeight="1" x14ac:dyDescent="0.3">
      <c r="B30" s="25" t="s">
        <v>45</v>
      </c>
      <c r="C30" s="26">
        <f>+PTRCY!$C$1</f>
        <v>0</v>
      </c>
      <c r="D30" s="29" t="str">
        <f>+PTRCY!$F$1</f>
        <v/>
      </c>
      <c r="E30" s="30"/>
      <c r="F30" s="29">
        <f t="shared" si="1"/>
        <v>0</v>
      </c>
      <c r="G30" s="29">
        <f>+PTRCY!$G$1</f>
        <v>2</v>
      </c>
    </row>
    <row r="31" spans="2:7" ht="21" customHeight="1" x14ac:dyDescent="0.3">
      <c r="B31" s="25" t="s">
        <v>46</v>
      </c>
      <c r="C31" s="26">
        <f>+SCDH!$C$1</f>
        <v>8</v>
      </c>
      <c r="D31" s="29">
        <f>+SCDH!$F$1</f>
        <v>75.911250000000024</v>
      </c>
      <c r="E31" s="30">
        <v>78.12</v>
      </c>
      <c r="F31" s="29">
        <f t="shared" si="1"/>
        <v>624.96</v>
      </c>
      <c r="G31" s="29">
        <f>+SCDH!$G$1</f>
        <v>17.669999999999845</v>
      </c>
    </row>
    <row r="32" spans="2:7" ht="21" customHeight="1" x14ac:dyDescent="0.3">
      <c r="B32" s="25" t="s">
        <v>47</v>
      </c>
      <c r="C32" s="26">
        <f>+SPYI!$C$1</f>
        <v>11</v>
      </c>
      <c r="D32" s="29">
        <f>+SPYI!$F$1</f>
        <v>48.957272727272716</v>
      </c>
      <c r="E32" s="30">
        <v>49.58</v>
      </c>
      <c r="F32" s="29">
        <f t="shared" si="1"/>
        <v>545.38</v>
      </c>
      <c r="G32" s="29">
        <f>+SPYI!$G$1</f>
        <v>6.8500000000001009</v>
      </c>
    </row>
    <row r="33" spans="2:7" ht="21" customHeight="1" x14ac:dyDescent="0.3">
      <c r="B33" s="25" t="s">
        <v>48</v>
      </c>
      <c r="C33" s="26">
        <f>+SQ!$C$1</f>
        <v>0</v>
      </c>
      <c r="D33" s="29" t="str">
        <f>+SQ!$F$1</f>
        <v/>
      </c>
      <c r="E33" s="30"/>
      <c r="F33" s="29">
        <f t="shared" si="1"/>
        <v>0</v>
      </c>
      <c r="G33" s="29">
        <f>+SQ!$G$1</f>
        <v>-34.5</v>
      </c>
    </row>
    <row r="34" spans="2:7" ht="21" customHeight="1" x14ac:dyDescent="0.3">
      <c r="B34" s="25" t="s">
        <v>51</v>
      </c>
      <c r="C34" s="26">
        <f>+TSLA!$C$1</f>
        <v>5</v>
      </c>
      <c r="D34" s="29">
        <f>+TSLA!$F$1</f>
        <v>219.01199999999955</v>
      </c>
      <c r="E34" s="30">
        <v>180.74</v>
      </c>
      <c r="F34" s="29">
        <f t="shared" si="1"/>
        <v>903.7</v>
      </c>
      <c r="G34" s="29">
        <f>+TSLA!$G$1</f>
        <v>-191.35999999999768</v>
      </c>
    </row>
    <row r="35" spans="2:7" ht="21" customHeight="1" x14ac:dyDescent="0.3">
      <c r="B35" s="25" t="s">
        <v>52</v>
      </c>
      <c r="C35" s="26">
        <f>+TUR!$C$1</f>
        <v>25</v>
      </c>
      <c r="D35" s="29">
        <f>+TUR!$F$1</f>
        <v>35.520000000000003</v>
      </c>
      <c r="E35" s="30">
        <v>35.840000000000003</v>
      </c>
      <c r="F35" s="29">
        <f t="shared" si="1"/>
        <v>896.00000000000011</v>
      </c>
      <c r="G35" s="29">
        <f>+TUR!$G$1</f>
        <v>8.0000000000000071</v>
      </c>
    </row>
    <row r="36" spans="2:7" ht="21" customHeight="1" x14ac:dyDescent="0.3">
      <c r="B36" s="25" t="s">
        <v>53</v>
      </c>
      <c r="C36" s="26">
        <f>+UAL!$C$1</f>
        <v>0</v>
      </c>
      <c r="D36" s="29" t="str">
        <f>+UAL!$F$1</f>
        <v/>
      </c>
      <c r="E36" s="30"/>
      <c r="F36" s="29">
        <f t="shared" si="1"/>
        <v>0</v>
      </c>
      <c r="G36" s="29">
        <f>+UAL!$G$1</f>
        <v>4.7399999999999949</v>
      </c>
    </row>
    <row r="37" spans="2:7" ht="21" customHeight="1" x14ac:dyDescent="0.3">
      <c r="B37" s="25" t="s">
        <v>54</v>
      </c>
      <c r="C37" s="26">
        <f>+UPS!$C$1</f>
        <v>2</v>
      </c>
      <c r="D37" s="29">
        <f>+UPS!$F$1</f>
        <v>181.1</v>
      </c>
      <c r="E37" s="30">
        <v>149.66</v>
      </c>
      <c r="F37" s="29">
        <f t="shared" si="1"/>
        <v>299.32</v>
      </c>
      <c r="G37" s="29">
        <f>+UPS!$G$1</f>
        <v>-62.879999999999995</v>
      </c>
    </row>
    <row r="38" spans="2:7" ht="21" customHeight="1" x14ac:dyDescent="0.3">
      <c r="B38" s="25" t="s">
        <v>55</v>
      </c>
      <c r="C38" s="26">
        <f>+VIG!$C$1</f>
        <v>0</v>
      </c>
      <c r="D38" s="29" t="str">
        <f>+VIG!$F$1</f>
        <v/>
      </c>
      <c r="E38" s="30">
        <v>177.73</v>
      </c>
      <c r="F38" s="29">
        <f t="shared" si="1"/>
        <v>0</v>
      </c>
      <c r="G38" s="29">
        <f>+VIG!$G$1</f>
        <v>28.019999999999925</v>
      </c>
    </row>
    <row r="39" spans="2:7" ht="21" customHeight="1" x14ac:dyDescent="0.3">
      <c r="B39" s="25" t="s">
        <v>56</v>
      </c>
      <c r="C39" s="26">
        <f>+VUG!$C$1</f>
        <v>3</v>
      </c>
      <c r="D39" s="29">
        <f>+VUG!$F$1</f>
        <v>328.35666666666663</v>
      </c>
      <c r="E39" s="30">
        <v>336.56</v>
      </c>
      <c r="F39" s="29">
        <f t="shared" si="1"/>
        <v>1009.6800000000001</v>
      </c>
      <c r="G39" s="29">
        <f>+VUG!$G$1</f>
        <v>24.610000000000127</v>
      </c>
    </row>
  </sheetData>
  <conditionalFormatting sqref="D3:D39">
    <cfRule type="cellIs" dxfId="222" priority="1" operator="lessThanOrEqual">
      <formula>0</formula>
    </cfRule>
  </conditionalFormatting>
  <conditionalFormatting sqref="F3:F39">
    <cfRule type="colorScale" priority="10">
      <colorScale>
        <cfvo type="min"/>
        <cfvo type="max"/>
        <color theme="0"/>
        <color rgb="FFABFFD1"/>
      </colorScale>
    </cfRule>
  </conditionalFormatting>
  <conditionalFormatting sqref="G3:G39">
    <cfRule type="colorScale" priority="11">
      <colorScale>
        <cfvo type="min"/>
        <cfvo type="num" val="0"/>
        <cfvo type="max"/>
        <color rgb="FFFFC1C1"/>
        <color theme="0"/>
        <color rgb="FFABFFD1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7"/>
  <sheetViews>
    <sheetView workbookViewId="0">
      <selection activeCell="F1" sqref="F1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SUMIF(Tablo1[KAR],"Açık",Tablo1[ADET])</f>
        <v>0</v>
      </c>
      <c r="D1" s="3"/>
      <c r="E1" s="3">
        <f>C1*D1</f>
        <v>0</v>
      </c>
      <c r="F1" s="3" t="str">
        <f>IFERROR(((SUM(Tablo1[ALIŞ TUTAR])-SUM(Tablo1[SATIŞ TUTAR]))/C1),"")</f>
        <v/>
      </c>
      <c r="G1" s="3">
        <f>IF(M3=0,L3,C1*(D1-F1))</f>
        <v>45.06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SUM(Tablo1[KAR])</f>
        <v>45.06</v>
      </c>
      <c r="M3" s="12">
        <f>C1</f>
        <v>0</v>
      </c>
    </row>
    <row r="4" spans="2:18" ht="21" customHeight="1" x14ac:dyDescent="0.3">
      <c r="B4" s="13">
        <v>44725</v>
      </c>
      <c r="C4" s="8">
        <v>2</v>
      </c>
      <c r="D4" s="3">
        <v>135.02000000000001</v>
      </c>
      <c r="E4" s="3">
        <v>142.5</v>
      </c>
      <c r="F4" s="14">
        <f>IF(Tablo1[[#This Row],[SATIŞ]]=0,"Açık",(E4-D4)*C4-3)</f>
        <v>11.95999999999998</v>
      </c>
      <c r="G4" s="15">
        <f>IF(Tablo1[[#This Row],[ALIŞ]]&gt;0,Tablo1[[#This Row],[ADET]]*Tablo1[[#This Row],[ALIŞ]]+1.5,0)</f>
        <v>271.54000000000002</v>
      </c>
      <c r="H4" s="15">
        <f>IF(Tablo1[[#This Row],[SATIŞ]]&gt;0,(Tablo1[[#This Row],[ADET]]*Tablo1[[#This Row],[SATIŞ]]-1.5),0)</f>
        <v>283.5</v>
      </c>
      <c r="L4" s="5"/>
      <c r="M4" s="5"/>
      <c r="N4" s="5"/>
    </row>
    <row r="5" spans="2:18" ht="21" customHeight="1" x14ac:dyDescent="0.3">
      <c r="B5" s="13">
        <v>45487</v>
      </c>
      <c r="C5" s="8">
        <v>3</v>
      </c>
      <c r="D5" s="3">
        <v>145</v>
      </c>
      <c r="E5" s="3">
        <v>148</v>
      </c>
      <c r="F5" s="14">
        <f>IF(Tablo1[[#This Row],[SATIŞ]]=0,"Açık",(E5-D5)*C5-3)</f>
        <v>6</v>
      </c>
      <c r="G5" s="15">
        <f>IF(Tablo1[[#This Row],[ALIŞ]]&gt;0,Tablo1[[#This Row],[ADET]]*Tablo1[[#This Row],[ALIŞ]]+1.5,0)</f>
        <v>436.5</v>
      </c>
      <c r="H5" s="15">
        <f>IF(Tablo1[[#This Row],[SATIŞ]]&gt;0,(Tablo1[[#This Row],[ADET]]*Tablo1[[#This Row],[SATIŞ]]-1.5),0)</f>
        <v>442.5</v>
      </c>
    </row>
    <row r="6" spans="2:18" ht="21" customHeight="1" x14ac:dyDescent="0.3">
      <c r="B6" s="13">
        <v>44760</v>
      </c>
      <c r="C6" s="8">
        <v>4</v>
      </c>
      <c r="D6" s="3">
        <v>149.5</v>
      </c>
      <c r="E6" s="3">
        <v>150.5</v>
      </c>
      <c r="F6" s="14">
        <f>IF(Tablo1[[#This Row],[SATIŞ]]=0,"Açık",(E6-D6)*C6-3)</f>
        <v>1</v>
      </c>
      <c r="G6" s="15">
        <f>IF(Tablo1[[#This Row],[ALIŞ]]&gt;0,Tablo1[[#This Row],[ADET]]*Tablo1[[#This Row],[ALIŞ]]+1.5,0)</f>
        <v>599.5</v>
      </c>
      <c r="H6" s="15">
        <f>IF(Tablo1[[#This Row],[SATIŞ]]&gt;0,(Tablo1[[#This Row],[ADET]]*Tablo1[[#This Row],[SATIŞ]]-1.5),0)</f>
        <v>600.5</v>
      </c>
    </row>
    <row r="7" spans="2:18" ht="21" customHeight="1" x14ac:dyDescent="0.3">
      <c r="B7" s="13">
        <v>44770</v>
      </c>
      <c r="C7" s="8">
        <v>3</v>
      </c>
      <c r="D7" s="3">
        <v>155</v>
      </c>
      <c r="E7" s="3">
        <v>159</v>
      </c>
      <c r="F7" s="14">
        <f>IF(Tablo1[[#This Row],[SATIŞ]]=0,"Açık",(E7-D7)*C7-3)</f>
        <v>9</v>
      </c>
      <c r="G7" s="15">
        <f>IF(Tablo1[[#This Row],[ALIŞ]]&gt;0,Tablo1[[#This Row],[ADET]]*Tablo1[[#This Row],[ALIŞ]]+1.5,0)</f>
        <v>466.5</v>
      </c>
      <c r="H7" s="15">
        <f>IF(Tablo1[[#This Row],[SATIŞ]]&gt;0,(Tablo1[[#This Row],[ADET]]*Tablo1[[#This Row],[SATIŞ]]-1.5),0)</f>
        <v>475.5</v>
      </c>
    </row>
    <row r="8" spans="2:18" ht="21" customHeight="1" x14ac:dyDescent="0.3">
      <c r="B8" s="13">
        <v>44774</v>
      </c>
      <c r="C8" s="8">
        <v>3</v>
      </c>
      <c r="D8" s="3">
        <v>161.5</v>
      </c>
      <c r="E8" s="3">
        <v>162.5</v>
      </c>
      <c r="F8" s="14">
        <f>IF(Tablo1[[#This Row],[SATIŞ]]=0,"Açık",(E8-D8)*C8-3)</f>
        <v>0</v>
      </c>
      <c r="G8" s="15">
        <f>IF(Tablo1[[#This Row],[ALIŞ]]&gt;0,Tablo1[[#This Row],[ADET]]*Tablo1[[#This Row],[ALIŞ]]+1.5,0)</f>
        <v>486</v>
      </c>
      <c r="H8" s="15">
        <f>IF(Tablo1[[#This Row],[SATIŞ]]&gt;0,(Tablo1[[#This Row],[ADET]]*Tablo1[[#This Row],[SATIŞ]]-1.5),0)</f>
        <v>486</v>
      </c>
    </row>
    <row r="9" spans="2:18" ht="21" customHeight="1" x14ac:dyDescent="0.3">
      <c r="B9" s="13">
        <v>44789</v>
      </c>
      <c r="C9" s="8">
        <v>6</v>
      </c>
      <c r="D9" s="3">
        <v>172</v>
      </c>
      <c r="E9" s="3">
        <v>174.5</v>
      </c>
      <c r="F9" s="14">
        <f>IF(Tablo1[[#This Row],[SATIŞ]]=0,"Açık",(E9-D9)*C9-3)</f>
        <v>12</v>
      </c>
      <c r="G9" s="15">
        <f>IF(Tablo1[[#This Row],[ALIŞ]]&gt;0,Tablo1[[#This Row],[ADET]]*Tablo1[[#This Row],[ALIŞ]]+1.5,0)</f>
        <v>1033.5</v>
      </c>
      <c r="H9" s="15">
        <f>IF(Tablo1[[#This Row],[SATIŞ]]&gt;0,(Tablo1[[#This Row],[ADET]]*Tablo1[[#This Row],[SATIŞ]]-1.5),0)</f>
        <v>1045.5</v>
      </c>
    </row>
    <row r="10" spans="2:18" ht="21" customHeight="1" x14ac:dyDescent="0.3">
      <c r="B10" s="13">
        <v>45063</v>
      </c>
      <c r="C10" s="8">
        <v>2</v>
      </c>
      <c r="D10" s="3">
        <v>170.95</v>
      </c>
      <c r="E10" s="3">
        <v>175</v>
      </c>
      <c r="F10" s="14">
        <f>IF(Tablo1[[#This Row],[SATIŞ]]=0,"Açık",(E10-D10)*C10-3)</f>
        <v>5.1000000000000227</v>
      </c>
      <c r="G10" s="15">
        <f>IF(Tablo1[[#This Row],[ALIŞ]]&gt;0,Tablo1[[#This Row],[ADET]]*Tablo1[[#This Row],[ALIŞ]]+1.5,0)</f>
        <v>343.4</v>
      </c>
      <c r="H10" s="15">
        <f>IF(Tablo1[[#This Row],[SATIŞ]]&gt;0,(Tablo1[[#This Row],[ADET]]*Tablo1[[#This Row],[SATIŞ]]-1.5),0)</f>
        <v>348.5</v>
      </c>
    </row>
    <row r="11" spans="2:18" ht="21" customHeight="1" x14ac:dyDescent="0.3">
      <c r="B11" s="13"/>
      <c r="D11" s="3"/>
      <c r="E11" s="3"/>
      <c r="F11" s="14" t="str">
        <f>IF(Tablo1[[#This Row],[SATIŞ]]=0,"Açık",(E11-D11)*C11-3)</f>
        <v>Açık</v>
      </c>
      <c r="G11" s="15">
        <f>IF(Tablo1[[#This Row],[ALIŞ]]&gt;0,Tablo1[[#This Row],[ADET]]*Tablo1[[#This Row],[ALIŞ]]+1.5,0)</f>
        <v>0</v>
      </c>
      <c r="H11" s="15">
        <f>IF(Tablo1[[#This Row],[SATIŞ]]&gt;0,(Tablo1[[#This Row],[ADET]]*Tablo1[[#This Row],[SATIŞ]]-1.5),0)</f>
        <v>0</v>
      </c>
      <c r="J11">
        <f>+Tablo1[[#This Row],[ALIŞ]]*1.02</f>
        <v>0</v>
      </c>
    </row>
    <row r="12" spans="2:18" ht="21" customHeight="1" x14ac:dyDescent="0.3">
      <c r="B12" s="13"/>
      <c r="D12" s="3"/>
      <c r="E12" s="3"/>
      <c r="F12" s="14" t="str">
        <f>IF(Tablo1[[#This Row],[SATIŞ]]=0,"Açık",(E12-D12)*C12-3)</f>
        <v>Açık</v>
      </c>
      <c r="G12" s="15">
        <f>IF(Tablo1[[#This Row],[ALIŞ]]&gt;0,Tablo1[[#This Row],[ADET]]*Tablo1[[#This Row],[ALIŞ]]+1.5,0)</f>
        <v>0</v>
      </c>
      <c r="H12" s="15">
        <f>IF(Tablo1[[#This Row],[SATIŞ]]&gt;0,(Tablo1[[#This Row],[ADET]]*Tablo1[[#This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IF(Tablo1[[#This Row],[SATIŞ]]=0,"Açık",(E13-D13)*C13-3)</f>
        <v>Açık</v>
      </c>
      <c r="G13" s="15">
        <f>IF(Tablo1[[#This Row],[ALIŞ]]&gt;0,Tablo1[[#This Row],[ADET]]*Tablo1[[#This Row],[ALIŞ]]+1.5,0)</f>
        <v>0</v>
      </c>
      <c r="H13" s="15">
        <f>IF(Tablo1[[#This Row],[SATIŞ]]&gt;0,(Tablo1[[#This Row],[ADET]]*Tablo1[[#This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IF(Tablo1[[#This Row],[SATIŞ]]=0,"Açık",(E14-D14)*C14-3)</f>
        <v>Açık</v>
      </c>
      <c r="G14" s="15">
        <f>IF(Tablo1[[#This Row],[ALIŞ]]&gt;0,Tablo1[[#This Row],[ADET]]*Tablo1[[#This Row],[ALIŞ]]+1.5,0)</f>
        <v>0</v>
      </c>
      <c r="H14" s="15">
        <f>IF(Tablo1[[#This Row],[SATIŞ]]&gt;0,(Tablo1[[#This Row],[ADET]]*Tablo1[[#This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IF(Tablo1[[#This Row],[SATIŞ]]=0,"Açık",(E15-D15)*C15-3)</f>
        <v>Açık</v>
      </c>
      <c r="G15" s="15">
        <f>IF(Tablo1[[#This Row],[ALIŞ]]&gt;0,Tablo1[[#This Row],[ADET]]*Tablo1[[#This Row],[ALIŞ]]+1.5,0)</f>
        <v>0</v>
      </c>
      <c r="H15" s="15">
        <f>IF(Tablo1[[#This Row],[SATIŞ]]&gt;0,(Tablo1[[#This Row],[ADET]]*Tablo1[[#This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IF(Tablo1[[#This Row],[SATIŞ]]=0,"Açık",(E16-D16)*C16-3)</f>
        <v>Açık</v>
      </c>
      <c r="G16" s="15">
        <f>IF(Tablo1[[#This Row],[ALIŞ]]&gt;0,Tablo1[[#This Row],[ADET]]*Tablo1[[#This Row],[ALIŞ]]+1.5,0)</f>
        <v>0</v>
      </c>
      <c r="H16" s="15">
        <f>IF(Tablo1[[#This Row],[SATIŞ]]&gt;0,(Tablo1[[#This Row],[ADET]]*Tablo1[[#This Row],[SATIŞ]]-1.5),0)</f>
        <v>0</v>
      </c>
    </row>
    <row r="17" spans="2:8" ht="21" customHeight="1" x14ac:dyDescent="0.3">
      <c r="B17" s="13"/>
      <c r="D17" s="3"/>
      <c r="E17" s="3"/>
      <c r="F17" s="14" t="str">
        <f>IF(Tablo1[[#This Row],[SATIŞ]]=0,"Açık",(E17-D17)*C17-3)</f>
        <v>Açık</v>
      </c>
      <c r="G17" s="15">
        <f>IF(Tablo1[[#This Row],[ALIŞ]]&gt;0,Tablo1[[#This Row],[ADET]]*Tablo1[[#This Row],[ALIŞ]]+1.5,0)</f>
        <v>0</v>
      </c>
      <c r="H17" s="15">
        <f>IF(Tablo1[[#This Row],[SATIŞ]]&gt;0,(Tablo1[[#This Row],[ADET]]*Tablo1[[#This Row],[SATIŞ]]-1.5),0)</f>
        <v>0</v>
      </c>
    </row>
    <row r="18" spans="2:8" ht="21" customHeight="1" x14ac:dyDescent="0.3">
      <c r="B18" s="13"/>
      <c r="D18" s="3"/>
      <c r="E18" s="3"/>
      <c r="F18" s="14" t="str">
        <f>IF(Tablo1[[#This Row],[SATIŞ]]=0,"Açık",(E18-D18)*C18-3)</f>
        <v>Açık</v>
      </c>
      <c r="G18" s="15">
        <f>IF(Tablo1[[#This Row],[ALIŞ]]&gt;0,Tablo1[[#This Row],[ADET]]*Tablo1[[#This Row],[ALIŞ]]+1.5,0)</f>
        <v>0</v>
      </c>
      <c r="H18" s="15">
        <f>IF(Tablo1[[#This Row],[SATIŞ]]&gt;0,(Tablo1[[#This Row],[ADET]]*Tablo1[[#This Row],[SATIŞ]]-1.5),0)</f>
        <v>0</v>
      </c>
    </row>
    <row r="19" spans="2:8" ht="21" customHeight="1" x14ac:dyDescent="0.3">
      <c r="B19" s="13"/>
      <c r="D19" s="3"/>
      <c r="E19" s="3"/>
      <c r="F19" s="14" t="str">
        <f>IF(Tablo1[[#This Row],[SATIŞ]]=0,"Açık",(E19-D19)*C19-3)</f>
        <v>Açık</v>
      </c>
      <c r="G19" s="15">
        <f>IF(Tablo1[[#This Row],[ALIŞ]]&gt;0,Tablo1[[#This Row],[ADET]]*Tablo1[[#This Row],[ALIŞ]]+1.5,0)</f>
        <v>0</v>
      </c>
      <c r="H19" s="15">
        <f>IF(Tablo1[[#This Row],[SATIŞ]]&gt;0,(Tablo1[[#This Row],[ADET]]*Tablo1[[#This Row],[SATIŞ]]-1.5),0)</f>
        <v>0</v>
      </c>
    </row>
    <row r="20" spans="2:8" ht="21" customHeight="1" x14ac:dyDescent="0.3">
      <c r="B20" s="13"/>
      <c r="D20" s="3"/>
      <c r="E20" s="3"/>
      <c r="F20" s="14" t="str">
        <f>IF(Tablo1[[#This Row],[SATIŞ]]=0,"Açık",(E20-D20)*C20-3)</f>
        <v>Açık</v>
      </c>
      <c r="G20" s="15">
        <f>IF(Tablo1[[#This Row],[ALIŞ]]&gt;0,Tablo1[[#This Row],[ADET]]*Tablo1[[#This Row],[ALIŞ]]+1.5,0)</f>
        <v>0</v>
      </c>
      <c r="H20" s="15">
        <f>IF(Tablo1[[#This Row],[SATIŞ]]&gt;0,(Tablo1[[#This Row],[ADET]]*Tablo1[[#This Row],[SATIŞ]]-1.5),0)</f>
        <v>0</v>
      </c>
    </row>
    <row r="21" spans="2:8" ht="21" customHeight="1" x14ac:dyDescent="0.3">
      <c r="B21" s="13"/>
      <c r="D21" s="3"/>
      <c r="E21" s="3"/>
      <c r="F21" s="14" t="str">
        <f>IF(Tablo1[[#This Row],[SATIŞ]]=0,"Açık",(E21-D21)*C21-3)</f>
        <v>Açık</v>
      </c>
      <c r="G21" s="15">
        <f>IF(Tablo1[[#This Row],[ALIŞ]]&gt;0,Tablo1[[#This Row],[ADET]]*Tablo1[[#This Row],[ALIŞ]]+1.5,0)</f>
        <v>0</v>
      </c>
      <c r="H21" s="15">
        <f>IF(Tablo1[[#This Row],[SATIŞ]]&gt;0,(Tablo1[[#This Row],[ADET]]*Tablo1[[#This Row],[SATIŞ]]-1.5),0)</f>
        <v>0</v>
      </c>
    </row>
    <row r="22" spans="2:8" ht="21" customHeight="1" x14ac:dyDescent="0.3">
      <c r="B22" s="13"/>
      <c r="D22" s="3"/>
      <c r="E22" s="3"/>
      <c r="F22" s="14" t="str">
        <f>IF(Tablo1[[#This Row],[SATIŞ]]=0,"Açık",(E22-D22)*C22-3)</f>
        <v>Açık</v>
      </c>
      <c r="G22" s="15">
        <f>IF(Tablo1[[#This Row],[ALIŞ]]&gt;0,Tablo1[[#This Row],[ADET]]*Tablo1[[#This Row],[ALIŞ]]+1.5,0)</f>
        <v>0</v>
      </c>
      <c r="H22" s="15">
        <f>IF(Tablo1[[#This Row],[SATIŞ]]&gt;0,(Tablo1[[#This Row],[ADET]]*Tablo1[[#This Row],[SATIŞ]]-1.5),0)</f>
        <v>0</v>
      </c>
    </row>
    <row r="23" spans="2:8" ht="21" customHeight="1" x14ac:dyDescent="0.3">
      <c r="B23" s="13"/>
      <c r="D23" s="3"/>
      <c r="E23" s="3"/>
      <c r="F23" s="14" t="str">
        <f>IF(Tablo1[[#This Row],[SATIŞ]]=0,"Açık",(E23-D23)*C23-3)</f>
        <v>Açık</v>
      </c>
      <c r="G23" s="15">
        <f>IF(Tablo1[[#This Row],[ALIŞ]]&gt;0,Tablo1[[#This Row],[ADET]]*Tablo1[[#This Row],[ALIŞ]]+1.5,0)</f>
        <v>0</v>
      </c>
      <c r="H23" s="15">
        <f>IF(Tablo1[[#This Row],[SATIŞ]]&gt;0,(Tablo1[[#This Row],[ADET]]*Tablo1[[#This Row],[SATIŞ]]-1.5),0)</f>
        <v>0</v>
      </c>
    </row>
    <row r="24" spans="2:8" ht="21" customHeight="1" x14ac:dyDescent="0.3">
      <c r="B24" s="13"/>
      <c r="D24" s="3"/>
      <c r="E24" s="3"/>
      <c r="F24" s="14" t="str">
        <f>IF(Tablo1[[#This Row],[SATIŞ]]=0,"Açık",(E24-D24)*C24-3)</f>
        <v>Açık</v>
      </c>
      <c r="G24" s="15">
        <f>IF(Tablo1[[#This Row],[ALIŞ]]&gt;0,Tablo1[[#This Row],[ADET]]*Tablo1[[#This Row],[ALIŞ]]+1.5,0)</f>
        <v>0</v>
      </c>
      <c r="H24" s="15">
        <f>IF(Tablo1[[#This Row],[SATIŞ]]&gt;0,(Tablo1[[#This Row],[ADET]]*Tablo1[[#This Row],[SATIŞ]]-1.5),0)</f>
        <v>0</v>
      </c>
    </row>
    <row r="25" spans="2:8" ht="21" customHeight="1" x14ac:dyDescent="0.3">
      <c r="B25" s="13"/>
      <c r="D25" s="3"/>
      <c r="E25" s="3"/>
      <c r="F25" s="14" t="str">
        <f>IF(Tablo1[[#This Row],[SATIŞ]]=0,"Açık",(E25-D25)*C25-3)</f>
        <v>Açık</v>
      </c>
      <c r="G25" s="15">
        <f>IF(Tablo1[[#This Row],[ALIŞ]]&gt;0,Tablo1[[#This Row],[ADET]]*Tablo1[[#This Row],[ALIŞ]]+1.5,0)</f>
        <v>0</v>
      </c>
      <c r="H25" s="15">
        <f>IF(Tablo1[[#This Row],[SATIŞ]]&gt;0,(Tablo1[[#This Row],[ADET]]*Tablo1[[#This Row],[SATIŞ]]-1.5),0)</f>
        <v>0</v>
      </c>
    </row>
    <row r="26" spans="2:8" ht="21" customHeight="1" x14ac:dyDescent="0.3">
      <c r="B26" s="13"/>
      <c r="D26" s="3"/>
      <c r="E26" s="3"/>
      <c r="F26" s="14" t="str">
        <f>IF(Tablo1[[#This Row],[SATIŞ]]=0,"Açık",(E26-D26)*C26-3)</f>
        <v>Açık</v>
      </c>
      <c r="G26" s="15">
        <f>IF(Tablo1[[#This Row],[ALIŞ]]&gt;0,Tablo1[[#This Row],[ADET]]*Tablo1[[#This Row],[ALIŞ]]+1.5,0)</f>
        <v>0</v>
      </c>
      <c r="H26" s="15">
        <f>IF(Tablo1[[#This Row],[SATIŞ]]&gt;0,(Tablo1[[#This Row],[ADET]]*Tablo1[[#This Row],[SATIŞ]]-1.5),0)</f>
        <v>0</v>
      </c>
    </row>
    <row r="27" spans="2:8" ht="21" customHeight="1" x14ac:dyDescent="0.3">
      <c r="B27" s="13"/>
      <c r="D27" s="3"/>
      <c r="E27" s="3"/>
      <c r="F27" s="14" t="str">
        <f>IF(Tablo1[[#This Row],[SATIŞ]]=0,"Açık",(E27-D27)*C27-3)</f>
        <v>Açık</v>
      </c>
      <c r="G27" s="15">
        <f>IF(Tablo1[[#This Row],[ALIŞ]]&gt;0,Tablo1[[#This Row],[ADET]]*Tablo1[[#This Row],[ALIŞ]]+1.5,0)</f>
        <v>0</v>
      </c>
      <c r="H27" s="15">
        <f>IF(Tablo1[[#This Row],[SATIŞ]]&gt;0,(Tablo1[[#This Row],[ADET]]*Tablo1[[#This Row],[SATIŞ]]-1.5),0)</f>
        <v>0</v>
      </c>
    </row>
  </sheetData>
  <conditionalFormatting sqref="B4:E4 B5:F27">
    <cfRule type="expression" dxfId="221" priority="4">
      <formula>$F4&lt;0</formula>
    </cfRule>
    <cfRule type="expression" dxfId="220" priority="5">
      <formula>$F4="Açık"</formula>
    </cfRule>
    <cfRule type="expression" dxfId="219" priority="6">
      <formula>$F4&gt;0</formula>
    </cfRule>
  </conditionalFormatting>
  <conditionalFormatting sqref="F4">
    <cfRule type="expression" dxfId="218" priority="1">
      <formula>$F4&lt;0</formula>
    </cfRule>
    <cfRule type="expression" dxfId="217" priority="2">
      <formula>$F4="Açık"</formula>
    </cfRule>
    <cfRule type="expression" dxfId="216" priority="3">
      <formula>$F4&gt;0</formula>
    </cfRule>
  </conditionalFormatting>
  <hyperlinks>
    <hyperlink ref="B1" location="İcmal!A1" display="ANA SAYFA" xr:uid="{9F6C009A-D442-45D7-8004-567CB534452F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FB2B-9A83-4D96-BEE9-40A67A0B0B86}">
  <dimension ref="B1:R27"/>
  <sheetViews>
    <sheetView workbookViewId="0">
      <selection activeCell="T10" sqref="T10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SUMIF(Tablo13489[KAR],"Açık",Tablo13489[ADET])</f>
        <v>0</v>
      </c>
      <c r="D1" s="3"/>
      <c r="E1" s="3">
        <f>C1*D1</f>
        <v>0</v>
      </c>
      <c r="F1" s="3" t="str">
        <f>IFERROR(((SUM(Tablo13489[ALIŞ TUTAR])-SUM(Tablo13489[SATIŞ TUTAR]))/C1),"")</f>
        <v/>
      </c>
      <c r="G1" s="3">
        <f>IF(M3=0,L3,C1*(D1-F1))</f>
        <v>1.5500000000000043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SUM(Tablo13489[KAR])</f>
        <v>1.5500000000000043</v>
      </c>
      <c r="M3" s="12">
        <f>C1</f>
        <v>0</v>
      </c>
    </row>
    <row r="4" spans="2:18" ht="21" customHeight="1" x14ac:dyDescent="0.3">
      <c r="B4" s="13">
        <v>44743</v>
      </c>
      <c r="C4" s="8">
        <v>350</v>
      </c>
      <c r="D4" s="3">
        <v>0.12</v>
      </c>
      <c r="E4" s="3">
        <v>0.13300000000000001</v>
      </c>
      <c r="F4" s="14">
        <f>IF(Tablo13489[[#This Row],[SATIŞ]]=0,"Açık",(E4-D4)*C4-3)</f>
        <v>1.5500000000000043</v>
      </c>
      <c r="G4" s="15">
        <f>IF(Tablo13489[[#This Row],[ALIŞ]]&gt;0,Tablo13489[[#This Row],[ADET]]*Tablo13489[[#This Row],[ALIŞ]]+1.5,0)</f>
        <v>43.5</v>
      </c>
      <c r="H4" s="15">
        <f>IF(Tablo13489[[#This Row],[SATIŞ]]&gt;0,(Tablo13489[[#This Row],[ADET]]*Tablo13489[[#This Row],[SATIŞ]]-1.5),0)</f>
        <v>45.050000000000004</v>
      </c>
      <c r="L4" s="5"/>
      <c r="M4" s="5"/>
      <c r="N4" s="5"/>
    </row>
    <row r="5" spans="2:18" ht="21" customHeight="1" x14ac:dyDescent="0.3">
      <c r="B5" s="13"/>
      <c r="D5" s="3"/>
      <c r="E5" s="3"/>
      <c r="F5" s="14" t="str">
        <f>IF(Tablo13489[[#This Row],[SATIŞ]]=0,"Açık",(E5-D5)*C5-3)</f>
        <v>Açık</v>
      </c>
      <c r="G5" s="15">
        <f>IF(Tablo13489[[#This Row],[ALIŞ]]&gt;0,Tablo13489[[#This Row],[ADET]]*Tablo13489[[#This Row],[ALIŞ]]+1.5,0)</f>
        <v>0</v>
      </c>
      <c r="H5" s="15">
        <f>IF(Tablo13489[[#This Row],[SATIŞ]]&gt;0,(Tablo13489[[#This Row],[ADET]]*Tablo13489[[#This Row],[SATIŞ]]-1.5),0)</f>
        <v>0</v>
      </c>
    </row>
    <row r="6" spans="2:18" ht="21" customHeight="1" x14ac:dyDescent="0.3">
      <c r="B6" s="13"/>
      <c r="D6" s="3"/>
      <c r="E6" s="3"/>
      <c r="F6" s="14" t="str">
        <f>IF(Tablo13489[[#This Row],[SATIŞ]]=0,"Açık",(E6-D6)*C6-3)</f>
        <v>Açık</v>
      </c>
      <c r="G6" s="15">
        <f>IF(Tablo13489[[#This Row],[ALIŞ]]&gt;0,Tablo13489[[#This Row],[ADET]]*Tablo13489[[#This Row],[ALIŞ]]+1.5,0)</f>
        <v>0</v>
      </c>
      <c r="H6" s="15">
        <f>IF(Tablo13489[[#This Row],[SATIŞ]]&gt;0,(Tablo13489[[#This Row],[ADET]]*Tablo13489[[#This Row],[SATIŞ]]-1.5),0)</f>
        <v>0</v>
      </c>
    </row>
    <row r="7" spans="2:18" ht="21" customHeight="1" x14ac:dyDescent="0.3">
      <c r="B7" s="13"/>
      <c r="D7" s="3"/>
      <c r="E7" s="3"/>
      <c r="F7" s="14" t="str">
        <f>IF(Tablo13489[[#This Row],[SATIŞ]]=0,"Açık",(E7-D7)*C7-3)</f>
        <v>Açık</v>
      </c>
      <c r="G7" s="15">
        <f>IF(Tablo13489[[#This Row],[ALIŞ]]&gt;0,Tablo13489[[#This Row],[ADET]]*Tablo13489[[#This Row],[ALIŞ]]+1.5,0)</f>
        <v>0</v>
      </c>
      <c r="H7" s="15">
        <f>IF(Tablo13489[[#This Row],[SATIŞ]]&gt;0,(Tablo13489[[#This Row],[ADET]]*Tablo13489[[#This Row],[SATIŞ]]-1.5),0)</f>
        <v>0</v>
      </c>
    </row>
    <row r="8" spans="2:18" ht="21" customHeight="1" x14ac:dyDescent="0.3">
      <c r="B8" s="13"/>
      <c r="D8" s="3"/>
      <c r="E8" s="3"/>
      <c r="F8" s="14" t="str">
        <f>IF(Tablo13489[[#This Row],[SATIŞ]]=0,"Açık",(E8-D8)*C8-3)</f>
        <v>Açık</v>
      </c>
      <c r="G8" s="15">
        <f>IF(Tablo13489[[#This Row],[ALIŞ]]&gt;0,Tablo13489[[#This Row],[ADET]]*Tablo13489[[#This Row],[ALIŞ]]+1.5,0)</f>
        <v>0</v>
      </c>
      <c r="H8" s="15">
        <f>IF(Tablo13489[[#This Row],[SATIŞ]]&gt;0,(Tablo13489[[#This Row],[ADET]]*Tablo13489[[#This Row],[SATIŞ]]-1.5),0)</f>
        <v>0</v>
      </c>
    </row>
    <row r="9" spans="2:18" ht="21" customHeight="1" x14ac:dyDescent="0.3">
      <c r="B9" s="13"/>
      <c r="D9" s="3"/>
      <c r="E9" s="3"/>
      <c r="F9" s="14" t="str">
        <f>IF(Tablo13489[[#This Row],[SATIŞ]]=0,"Açık",(E9-D9)*C9-3)</f>
        <v>Açık</v>
      </c>
      <c r="G9" s="15">
        <f>IF(Tablo13489[[#This Row],[ALIŞ]]&gt;0,Tablo13489[[#This Row],[ADET]]*Tablo13489[[#This Row],[ALIŞ]]+1.5,0)</f>
        <v>0</v>
      </c>
      <c r="H9" s="15">
        <f>IF(Tablo13489[[#This Row],[SATIŞ]]&gt;0,(Tablo13489[[#This Row],[ADET]]*Tablo13489[[#This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IF(Tablo13489[[#This Row],[SATIŞ]]=0,"Açık",(E10-D10)*C10-3)</f>
        <v>Açık</v>
      </c>
      <c r="G10" s="15">
        <f>IF(Tablo13489[[#This Row],[ALIŞ]]&gt;0,Tablo13489[[#This Row],[ADET]]*Tablo13489[[#This Row],[ALIŞ]]+1.5,0)</f>
        <v>0</v>
      </c>
      <c r="H10" s="15">
        <f>IF(Tablo13489[[#This Row],[SATIŞ]]&gt;0,(Tablo13489[[#This Row],[ADET]]*Tablo13489[[#This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IF(Tablo13489[[#This Row],[SATIŞ]]=0,"Açık",(E11-D11)*C11-3)</f>
        <v>Açık</v>
      </c>
      <c r="G11" s="15">
        <f>IF(Tablo13489[[#This Row],[ALIŞ]]&gt;0,Tablo13489[[#This Row],[ADET]]*Tablo13489[[#This Row],[ALIŞ]]+1.5,0)</f>
        <v>0</v>
      </c>
      <c r="H11" s="15">
        <f>IF(Tablo13489[[#This Row],[SATIŞ]]&gt;0,(Tablo13489[[#This Row],[ADET]]*Tablo13489[[#This Row],[SATIŞ]]-1.5),0)</f>
        <v>0</v>
      </c>
      <c r="J11">
        <f>+Tablo13489[[#This Row],[ALIŞ]]*1.02</f>
        <v>0</v>
      </c>
    </row>
    <row r="12" spans="2:18" ht="21" customHeight="1" x14ac:dyDescent="0.3">
      <c r="B12" s="13"/>
      <c r="D12" s="3"/>
      <c r="E12" s="3"/>
      <c r="F12" s="14" t="str">
        <f>IF(Tablo13489[[#This Row],[SATIŞ]]=0,"Açık",(E12-D12)*C12-3)</f>
        <v>Açık</v>
      </c>
      <c r="G12" s="15">
        <f>IF(Tablo13489[[#This Row],[ALIŞ]]&gt;0,Tablo13489[[#This Row],[ADET]]*Tablo13489[[#This Row],[ALIŞ]]+1.5,0)</f>
        <v>0</v>
      </c>
      <c r="H12" s="15">
        <f>IF(Tablo13489[[#This Row],[SATIŞ]]&gt;0,(Tablo13489[[#This Row],[ADET]]*Tablo13489[[#This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IF(Tablo13489[[#This Row],[SATIŞ]]=0,"Açık",(E13-D13)*C13-3)</f>
        <v>Açık</v>
      </c>
      <c r="G13" s="15">
        <f>IF(Tablo13489[[#This Row],[ALIŞ]]&gt;0,Tablo13489[[#This Row],[ADET]]*Tablo13489[[#This Row],[ALIŞ]]+1.5,0)</f>
        <v>0</v>
      </c>
      <c r="H13" s="15">
        <f>IF(Tablo13489[[#This Row],[SATIŞ]]&gt;0,(Tablo13489[[#This Row],[ADET]]*Tablo13489[[#This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IF(Tablo13489[[#This Row],[SATIŞ]]=0,"Açık",(E14-D14)*C14-3)</f>
        <v>Açık</v>
      </c>
      <c r="G14" s="15">
        <f>IF(Tablo13489[[#This Row],[ALIŞ]]&gt;0,Tablo13489[[#This Row],[ADET]]*Tablo13489[[#This Row],[ALIŞ]]+1.5,0)</f>
        <v>0</v>
      </c>
      <c r="H14" s="15">
        <f>IF(Tablo13489[[#This Row],[SATIŞ]]&gt;0,(Tablo13489[[#This Row],[ADET]]*Tablo13489[[#This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IF(Tablo13489[[#This Row],[SATIŞ]]=0,"Açık",(E15-D15)*C15-3)</f>
        <v>Açık</v>
      </c>
      <c r="G15" s="15">
        <f>IF(Tablo13489[[#This Row],[ALIŞ]]&gt;0,Tablo13489[[#This Row],[ADET]]*Tablo13489[[#This Row],[ALIŞ]]+1.5,0)</f>
        <v>0</v>
      </c>
      <c r="H15" s="15">
        <f>IF(Tablo13489[[#This Row],[SATIŞ]]&gt;0,(Tablo13489[[#This Row],[ADET]]*Tablo13489[[#This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IF(Tablo13489[[#This Row],[SATIŞ]]=0,"Açık",(E16-D16)*C16-3)</f>
        <v>Açık</v>
      </c>
      <c r="G16" s="15">
        <f>IF(Tablo13489[[#This Row],[ALIŞ]]&gt;0,Tablo13489[[#This Row],[ADET]]*Tablo13489[[#This Row],[ALIŞ]]+1.5,0)</f>
        <v>0</v>
      </c>
      <c r="H16" s="15">
        <f>IF(Tablo13489[[#This Row],[SATIŞ]]&gt;0,(Tablo13489[[#This Row],[ADET]]*Tablo13489[[#This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IF(Tablo13489[[#This Row],[SATIŞ]]=0,"Açık",(E17-D17)*C17-3)</f>
        <v>Açık</v>
      </c>
      <c r="G17" s="15">
        <f>IF(Tablo13489[[#This Row],[ALIŞ]]&gt;0,Tablo13489[[#This Row],[ADET]]*Tablo13489[[#This Row],[ALIŞ]]+1.5,0)</f>
        <v>0</v>
      </c>
      <c r="H17" s="15">
        <f>IF(Tablo13489[[#This Row],[SATIŞ]]&gt;0,(Tablo13489[[#This Row],[ADET]]*Tablo13489[[#This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IF(Tablo13489[[#This Row],[SATIŞ]]=0,"Açık",(E18-D18)*C18-3)</f>
        <v>Açık</v>
      </c>
      <c r="G18" s="15">
        <f>IF(Tablo13489[[#This Row],[ALIŞ]]&gt;0,Tablo13489[[#This Row],[ADET]]*Tablo13489[[#This Row],[ALIŞ]]+1.5,0)</f>
        <v>0</v>
      </c>
      <c r="H18" s="15">
        <f>IF(Tablo13489[[#This Row],[SATIŞ]]&gt;0,(Tablo13489[[#This Row],[ADET]]*Tablo13489[[#This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IF(Tablo13489[[#This Row],[SATIŞ]]=0,"Açık",(E19-D19)*C19-3)</f>
        <v>Açık</v>
      </c>
      <c r="G19" s="15">
        <f>IF(Tablo13489[[#This Row],[ALIŞ]]&gt;0,Tablo13489[[#This Row],[ADET]]*Tablo13489[[#This Row],[ALIŞ]]+1.5,0)</f>
        <v>0</v>
      </c>
      <c r="H19" s="15">
        <f>IF(Tablo13489[[#This Row],[SATIŞ]]&gt;0,(Tablo13489[[#This Row],[ADET]]*Tablo13489[[#This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IF(Tablo13489[[#This Row],[SATIŞ]]=0,"Açık",(E20-D20)*C20-3)</f>
        <v>Açık</v>
      </c>
      <c r="G20" s="15">
        <f>IF(Tablo13489[[#This Row],[ALIŞ]]&gt;0,Tablo13489[[#This Row],[ADET]]*Tablo13489[[#This Row],[ALIŞ]]+1.5,0)</f>
        <v>0</v>
      </c>
      <c r="H20" s="15">
        <f>IF(Tablo13489[[#This Row],[SATIŞ]]&gt;0,(Tablo13489[[#This Row],[ADET]]*Tablo13489[[#This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IF(Tablo13489[[#This Row],[SATIŞ]]=0,"Açık",(E21-D21)*C21-3)</f>
        <v>Açık</v>
      </c>
      <c r="G21" s="15">
        <f>IF(Tablo13489[[#This Row],[ALIŞ]]&gt;0,Tablo13489[[#This Row],[ADET]]*Tablo13489[[#This Row],[ALIŞ]]+1.5,0)</f>
        <v>0</v>
      </c>
      <c r="H21" s="15">
        <f>IF(Tablo13489[[#This Row],[SATIŞ]]&gt;0,(Tablo13489[[#This Row],[ADET]]*Tablo13489[[#This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IF(Tablo13489[[#This Row],[SATIŞ]]=0,"Açık",(E22-D22)*C22-3)</f>
        <v>Açık</v>
      </c>
      <c r="G22" s="15">
        <f>IF(Tablo13489[[#This Row],[ALIŞ]]&gt;0,Tablo13489[[#This Row],[ADET]]*Tablo13489[[#This Row],[ALIŞ]]+1.5,0)</f>
        <v>0</v>
      </c>
      <c r="H22" s="15">
        <f>IF(Tablo13489[[#This Row],[SATIŞ]]&gt;0,(Tablo13489[[#This Row],[ADET]]*Tablo13489[[#This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IF(Tablo13489[[#This Row],[SATIŞ]]=0,"Açık",(E23-D23)*C23-3)</f>
        <v>Açık</v>
      </c>
      <c r="G23" s="15">
        <f>IF(Tablo13489[[#This Row],[ALIŞ]]&gt;0,Tablo13489[[#This Row],[ADET]]*Tablo13489[[#This Row],[ALIŞ]]+1.5,0)</f>
        <v>0</v>
      </c>
      <c r="H23" s="15">
        <f>IF(Tablo13489[[#This Row],[SATIŞ]]&gt;0,(Tablo13489[[#This Row],[ADET]]*Tablo13489[[#This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IF(Tablo13489[[#This Row],[SATIŞ]]=0,"Açık",(E24-D24)*C24-3)</f>
        <v>Açık</v>
      </c>
      <c r="G24" s="15">
        <f>IF(Tablo13489[[#This Row],[ALIŞ]]&gt;0,Tablo13489[[#This Row],[ADET]]*Tablo13489[[#This Row],[ALIŞ]]+1.5,0)</f>
        <v>0</v>
      </c>
      <c r="H24" s="15">
        <f>IF(Tablo13489[[#This Row],[SATIŞ]]&gt;0,(Tablo13489[[#This Row],[ADET]]*Tablo13489[[#This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IF(Tablo13489[[#This Row],[SATIŞ]]=0,"Açık",(E25-D25)*C25-3)</f>
        <v>Açık</v>
      </c>
      <c r="G25" s="15">
        <f>IF(Tablo13489[[#This Row],[ALIŞ]]&gt;0,Tablo13489[[#This Row],[ADET]]*Tablo13489[[#This Row],[ALIŞ]]+1.5,0)</f>
        <v>0</v>
      </c>
      <c r="H25" s="15">
        <f>IF(Tablo13489[[#This Row],[SATIŞ]]&gt;0,(Tablo13489[[#This Row],[ADET]]*Tablo13489[[#This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IF(Tablo13489[[#This Row],[SATIŞ]]=0,"Açık",(E26-D26)*C26-3)</f>
        <v>Açık</v>
      </c>
      <c r="G26" s="15">
        <f>IF(Tablo13489[[#This Row],[ALIŞ]]&gt;0,Tablo13489[[#This Row],[ADET]]*Tablo13489[[#This Row],[ALIŞ]]+1.5,0)</f>
        <v>0</v>
      </c>
      <c r="H26" s="15">
        <f>IF(Tablo13489[[#This Row],[SATIŞ]]&gt;0,(Tablo13489[[#This Row],[ADET]]*Tablo13489[[#This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IF(Tablo13489[[#This Row],[SATIŞ]]=0,"Açık",(E27-D27)*C27-3)</f>
        <v>Açık</v>
      </c>
      <c r="G27" s="15">
        <f>IF(Tablo13489[[#This Row],[ALIŞ]]&gt;0,Tablo13489[[#This Row],[ADET]]*Tablo13489[[#This Row],[ALIŞ]]+1.5,0)</f>
        <v>0</v>
      </c>
      <c r="H27" s="15">
        <f>IF(Tablo13489[[#This Row],[SATIŞ]]&gt;0,(Tablo13489[[#This Row],[ADET]]*Tablo13489[[#This Row],[SATIŞ]]-1.5),0)</f>
        <v>0</v>
      </c>
    </row>
  </sheetData>
  <conditionalFormatting sqref="B4:E4 B5:F27">
    <cfRule type="expression" dxfId="215" priority="4">
      <formula>$F4&lt;0</formula>
    </cfRule>
    <cfRule type="expression" dxfId="214" priority="5">
      <formula>$F4="Açık"</formula>
    </cfRule>
    <cfRule type="expression" dxfId="213" priority="6">
      <formula>$F4&gt;0</formula>
    </cfRule>
  </conditionalFormatting>
  <conditionalFormatting sqref="F4">
    <cfRule type="expression" dxfId="212" priority="1">
      <formula>$F4&lt;0</formula>
    </cfRule>
    <cfRule type="expression" dxfId="211" priority="2">
      <formula>$F4="Açık"</formula>
    </cfRule>
    <cfRule type="expression" dxfId="210" priority="3">
      <formula>$F4&gt;0</formula>
    </cfRule>
  </conditionalFormatting>
  <hyperlinks>
    <hyperlink ref="B1" location="İcmal!A1" display="ANA SAYFA" xr:uid="{F789EDD5-C68E-426E-AB47-C09D6D812D48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A317-8C14-43D8-B2DF-CA12FB72FC6B}">
  <dimension ref="B1:R29"/>
  <sheetViews>
    <sheetView topLeftCell="A7" workbookViewId="0">
      <selection activeCell="D22" sqref="D22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SUMIF(Tablo134262728293031353637[KAR],"Açık",Tablo134262728293031353637[ADET])</f>
        <v>10</v>
      </c>
      <c r="D1" s="16">
        <f>+İcmal!E5</f>
        <v>205.13</v>
      </c>
      <c r="E1" s="16">
        <f>C1*D1</f>
        <v>2051.3000000000002</v>
      </c>
      <c r="F1" s="16">
        <f>IFERROR(((SUM(Tablo134262728293031353637[ALIŞ TUTAR])-SUM(Tablo134262728293031353637[SATIŞ TUTAR]))/C1),"")</f>
        <v>125.84799999999996</v>
      </c>
      <c r="G1" s="16">
        <f>IF(M3=0,L3,C1*(D1-F1))</f>
        <v>792.82000000000039</v>
      </c>
      <c r="J1" s="4">
        <v>0.02</v>
      </c>
      <c r="L1" s="5">
        <f>M1*(1-$J$1)</f>
        <v>123.33103999999996</v>
      </c>
      <c r="M1" s="6">
        <f>F1</f>
        <v>125.84799999999996</v>
      </c>
      <c r="N1" s="5">
        <f>M1*(1+$J$1)</f>
        <v>128.36495999999997</v>
      </c>
      <c r="P1" s="5">
        <f>Q1*(1-$J$1)</f>
        <v>201.0274</v>
      </c>
      <c r="Q1" s="6">
        <f>+D1</f>
        <v>205.13</v>
      </c>
      <c r="R1" s="5">
        <f>Q1*(1+$J$1)</f>
        <v>209.23259999999999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SUM(Tablo134262728293031353637[KAR])</f>
        <v>819.52</v>
      </c>
      <c r="M3" s="12">
        <f>C1</f>
        <v>10</v>
      </c>
    </row>
    <row r="4" spans="2:18" ht="21" customHeight="1" x14ac:dyDescent="0.3">
      <c r="B4" s="13">
        <v>45328</v>
      </c>
      <c r="C4" s="8">
        <v>4</v>
      </c>
      <c r="D4" s="16">
        <v>171.05</v>
      </c>
      <c r="E4" s="16">
        <v>176</v>
      </c>
      <c r="F4" s="17">
        <f>IF(Tablo134262728293031353637[[#This Row],[SATIŞ]]=0,"Açık",(E4-D4)*C4-3)</f>
        <v>16.799999999999955</v>
      </c>
      <c r="G4" s="15">
        <f>IF(Tablo134262728293031353637[[#This Row],[ALIŞ]]&gt;0,Tablo134262728293031353637[[#This Row],[ADET]]*Tablo134262728293031353637[[#This Row],[ALIŞ]]+1.5,0)</f>
        <v>685.7</v>
      </c>
      <c r="H4" s="15">
        <f>IF(Tablo134262728293031353637[[#This Row],[SATIŞ]]&gt;0,(Tablo134262728293031353637[[#This Row],[ADET]]*Tablo134262728293031353637[[#This Row],[SATIŞ]]-1.5),0)</f>
        <v>702.5</v>
      </c>
      <c r="L4" s="5"/>
      <c r="M4" s="5"/>
      <c r="N4" s="5"/>
    </row>
    <row r="5" spans="2:18" ht="21" customHeight="1" x14ac:dyDescent="0.3">
      <c r="B5" s="13">
        <v>45328</v>
      </c>
      <c r="C5" s="8">
        <v>6</v>
      </c>
      <c r="D5" s="16">
        <v>171.05</v>
      </c>
      <c r="E5" s="16">
        <v>166</v>
      </c>
      <c r="F5" s="17">
        <f>IF(Tablo134262728293031353637[[#This Row],[SATIŞ]]=0,"Açık",(E5-D5)*C5-3)</f>
        <v>-33.300000000000068</v>
      </c>
      <c r="G5" s="15">
        <f>IF(Tablo134262728293031353637[[#This Row],[ALIŞ]]&gt;0,Tablo134262728293031353637[[#This Row],[ADET]]*Tablo134262728293031353637[[#This Row],[ALIŞ]]+1.5,0)</f>
        <v>1027.8000000000002</v>
      </c>
      <c r="H5" s="15">
        <f>IF(Tablo134262728293031353637[[#This Row],[SATIŞ]]&gt;0,(Tablo134262728293031353637[[#This Row],[ADET]]*Tablo134262728293031353637[[#This Row],[SATIŞ]]-1.5),0)</f>
        <v>994.5</v>
      </c>
    </row>
    <row r="6" spans="2:18" ht="21" customHeight="1" x14ac:dyDescent="0.3">
      <c r="B6" s="13">
        <v>45328</v>
      </c>
      <c r="C6" s="8">
        <v>2</v>
      </c>
      <c r="D6" s="16">
        <v>167.43</v>
      </c>
      <c r="E6" s="16">
        <v>166</v>
      </c>
      <c r="F6" s="17">
        <f>IF(Tablo134262728293031353637[[#This Row],[SATIŞ]]=0,"Açık",(E6-D6)*C6-3)</f>
        <v>-5.8600000000000136</v>
      </c>
      <c r="G6" s="15">
        <f>IF(Tablo134262728293031353637[[#This Row],[ALIŞ]]&gt;0,Tablo134262728293031353637[[#This Row],[ADET]]*Tablo134262728293031353637[[#This Row],[ALIŞ]]+1.5,0)</f>
        <v>336.36</v>
      </c>
      <c r="H6" s="15">
        <f>IF(Tablo134262728293031353637[[#This Row],[SATIŞ]]&gt;0,(Tablo134262728293031353637[[#This Row],[ADET]]*Tablo134262728293031353637[[#This Row],[SATIŞ]]-1.5),0)</f>
        <v>330.5</v>
      </c>
    </row>
    <row r="7" spans="2:18" ht="21" customHeight="1" x14ac:dyDescent="0.3">
      <c r="B7" s="13">
        <v>45342</v>
      </c>
      <c r="C7" s="8">
        <v>2</v>
      </c>
      <c r="D7" s="16">
        <v>166.71</v>
      </c>
      <c r="E7" s="16">
        <v>166</v>
      </c>
      <c r="F7" s="17">
        <f>IF(Tablo134262728293031353637[[#This Row],[SATIŞ]]=0,"Açık",(E7-D7)*C7-3)</f>
        <v>-4.4200000000000159</v>
      </c>
      <c r="G7" s="15">
        <f>IF(Tablo134262728293031353637[[#This Row],[ALIŞ]]&gt;0,Tablo134262728293031353637[[#This Row],[ADET]]*Tablo134262728293031353637[[#This Row],[ALIŞ]]+1.5,0)</f>
        <v>334.92</v>
      </c>
      <c r="H7" s="15">
        <f>IF(Tablo134262728293031353637[[#This Row],[SATIŞ]]&gt;0,(Tablo134262728293031353637[[#This Row],[ADET]]*Tablo134262728293031353637[[#This Row],[SATIŞ]]-1.5),0)</f>
        <v>330.5</v>
      </c>
    </row>
    <row r="8" spans="2:18" ht="21" customHeight="1" x14ac:dyDescent="0.3">
      <c r="B8" s="13">
        <v>45342</v>
      </c>
      <c r="C8" s="8">
        <v>20</v>
      </c>
      <c r="D8" s="16">
        <v>163.91</v>
      </c>
      <c r="E8" s="16">
        <v>166</v>
      </c>
      <c r="F8" s="17">
        <f>IF(Tablo134262728293031353637[[#This Row],[SATIŞ]]=0,"Açık",(E8-D8)*C8-3)</f>
        <v>38.800000000000068</v>
      </c>
      <c r="G8" s="15">
        <f>IF(Tablo134262728293031353637[[#This Row],[ALIŞ]]&gt;0,Tablo134262728293031353637[[#This Row],[ADET]]*Tablo134262728293031353637[[#This Row],[ALIŞ]]+1.5,0)</f>
        <v>3279.7</v>
      </c>
      <c r="H8" s="15">
        <f>IF(Tablo134262728293031353637[[#This Row],[SATIŞ]]&gt;0,(Tablo134262728293031353637[[#This Row],[ADET]]*Tablo134262728293031353637[[#This Row],[SATIŞ]]-1.5),0)</f>
        <v>3318.5</v>
      </c>
    </row>
    <row r="9" spans="2:18" ht="21" customHeight="1" x14ac:dyDescent="0.3">
      <c r="B9" s="13">
        <v>45342</v>
      </c>
      <c r="C9" s="8">
        <v>10</v>
      </c>
      <c r="D9" s="16">
        <v>163.91</v>
      </c>
      <c r="E9" s="16">
        <v>175</v>
      </c>
      <c r="F9" s="17">
        <f>IF(Tablo134262728293031353637[[#This Row],[SATIŞ]]=0,"Açık",(E9-D9)*C9-3)</f>
        <v>107.90000000000003</v>
      </c>
      <c r="G9" s="15">
        <f>IF(Tablo134262728293031353637[[#This Row],[ALIŞ]]&gt;0,Tablo134262728293031353637[[#This Row],[ADET]]*Tablo134262728293031353637[[#This Row],[ALIŞ]]+1.5,0)</f>
        <v>1640.6</v>
      </c>
      <c r="H9" s="15">
        <f>IF(Tablo134262728293031353637[[#This Row],[SATIŞ]]&gt;0,(Tablo134262728293031353637[[#This Row],[ADET]]*Tablo134262728293031353637[[#This Row],[SATIŞ]]-1.5),0)</f>
        <v>1748.5</v>
      </c>
    </row>
    <row r="10" spans="2:18" ht="21" customHeight="1" x14ac:dyDescent="0.3">
      <c r="B10" s="13">
        <v>45342</v>
      </c>
      <c r="C10" s="8">
        <v>5</v>
      </c>
      <c r="D10" s="16">
        <v>163.91</v>
      </c>
      <c r="E10" s="16">
        <v>183</v>
      </c>
      <c r="F10" s="17">
        <f>IF(Tablo134262728293031353637[[#This Row],[SATIŞ]]=0,"Açık",(E10-D10)*C10-3)</f>
        <v>92.450000000000017</v>
      </c>
      <c r="G10" s="15">
        <f>IF(Tablo134262728293031353637[[#This Row],[ALIŞ]]&gt;0,Tablo134262728293031353637[[#This Row],[ADET]]*Tablo134262728293031353637[[#This Row],[ALIŞ]]+1.5,0)</f>
        <v>821.05</v>
      </c>
      <c r="H10" s="15">
        <f>IF(Tablo134262728293031353637[[#This Row],[SATIŞ]]&gt;0,(Tablo134262728293031353637[[#This Row],[ADET]]*Tablo134262728293031353637[[#This Row],[SATIŞ]]-1.5),0)</f>
        <v>913.5</v>
      </c>
    </row>
    <row r="11" spans="2:18" ht="21" customHeight="1" x14ac:dyDescent="0.3">
      <c r="B11" s="13">
        <v>45342</v>
      </c>
      <c r="C11" s="8">
        <v>5</v>
      </c>
      <c r="D11" s="16">
        <v>163.91</v>
      </c>
      <c r="E11" s="16">
        <v>177</v>
      </c>
      <c r="F11" s="17">
        <f>IF(Tablo134262728293031353637[[#This Row],[SATIŞ]]=0,"Açık",(E11-D11)*C11-3)</f>
        <v>62.450000000000017</v>
      </c>
      <c r="G11" s="15">
        <f>IF(Tablo134262728293031353637[[#This Row],[ALIŞ]]&gt;0,Tablo134262728293031353637[[#This Row],[ADET]]*Tablo134262728293031353637[[#This Row],[ALIŞ]]+1.5,0)</f>
        <v>821.05</v>
      </c>
      <c r="H11" s="15">
        <f>IF(Tablo134262728293031353637[[#This Row],[SATIŞ]]&gt;0,(Tablo134262728293031353637[[#This Row],[ADET]]*Tablo134262728293031353637[[#This Row],[SATIŞ]]-1.5),0)</f>
        <v>883.5</v>
      </c>
    </row>
    <row r="12" spans="2:18" ht="21" customHeight="1" x14ac:dyDescent="0.3">
      <c r="B12" s="13">
        <v>45343</v>
      </c>
      <c r="C12" s="8">
        <v>10</v>
      </c>
      <c r="D12" s="16">
        <v>162</v>
      </c>
      <c r="E12" s="16">
        <v>168</v>
      </c>
      <c r="F12" s="17">
        <f>IF(Tablo134262728293031353637[[#This Row],[SATIŞ]]=0,"Açık",(E12-D12)*C12-3)</f>
        <v>57</v>
      </c>
      <c r="G12" s="15">
        <f>IF(Tablo134262728293031353637[[#This Row],[ALIŞ]]&gt;0,Tablo134262728293031353637[[#This Row],[ADET]]*Tablo134262728293031353637[[#This Row],[ALIŞ]]+1.5,0)</f>
        <v>1621.5</v>
      </c>
      <c r="H12" s="15">
        <f>IF(Tablo134262728293031353637[[#This Row],[SATIŞ]]&gt;0,(Tablo134262728293031353637[[#This Row],[ADET]]*Tablo134262728293031353637[[#This Row],[SATIŞ]]-1.5),0)</f>
        <v>1678.5</v>
      </c>
    </row>
    <row r="13" spans="2:18" ht="21" customHeight="1" x14ac:dyDescent="0.3">
      <c r="B13" s="13">
        <v>45345</v>
      </c>
      <c r="C13" s="8">
        <v>5</v>
      </c>
      <c r="D13" s="16">
        <v>180</v>
      </c>
      <c r="E13" s="16">
        <v>190</v>
      </c>
      <c r="F13" s="17">
        <f>IF(Tablo134262728293031353637[[#This Row],[SATIŞ]]=0,"Açık",(E13-D13)*C13-3)</f>
        <v>47</v>
      </c>
      <c r="G13" s="15">
        <f>IF(Tablo134262728293031353637[[#This Row],[ALIŞ]]&gt;0,Tablo134262728293031353637[[#This Row],[ADET]]*Tablo134262728293031353637[[#This Row],[ALIŞ]]+1.5,0)</f>
        <v>901.5</v>
      </c>
      <c r="H13" s="15">
        <f>IF(Tablo134262728293031353637[[#This Row],[SATIŞ]]&gt;0,(Tablo134262728293031353637[[#This Row],[ADET]]*Tablo134262728293031353637[[#This Row],[SATIŞ]]-1.5),0)</f>
        <v>948.5</v>
      </c>
      <c r="J13">
        <f>+Tablo134262728293031353637[[#This Row],[ALIŞ]]*1.02</f>
        <v>183.6</v>
      </c>
    </row>
    <row r="14" spans="2:18" ht="21" customHeight="1" x14ac:dyDescent="0.3">
      <c r="B14" s="13">
        <v>45345</v>
      </c>
      <c r="C14" s="8">
        <v>5</v>
      </c>
      <c r="D14" s="16">
        <v>178</v>
      </c>
      <c r="E14" s="16">
        <v>195</v>
      </c>
      <c r="F14" s="17">
        <f>IF(Tablo134262728293031353637[[#This Row],[SATIŞ]]=0,"Açık",(E14-D14)*C14-3)</f>
        <v>82</v>
      </c>
      <c r="G14" s="15">
        <f>IF(Tablo134262728293031353637[[#This Row],[ALIŞ]]&gt;0,Tablo134262728293031353637[[#This Row],[ADET]]*Tablo134262728293031353637[[#This Row],[ALIŞ]]+1.5,0)</f>
        <v>891.5</v>
      </c>
      <c r="H14" s="15">
        <f>IF(Tablo134262728293031353637[[#This Row],[SATIŞ]]&gt;0,(Tablo134262728293031353637[[#This Row],[ADET]]*Tablo134262728293031353637[[#This Row],[SATIŞ]]-1.5),0)</f>
        <v>973.5</v>
      </c>
    </row>
    <row r="15" spans="2:18" ht="21" customHeight="1" x14ac:dyDescent="0.3">
      <c r="B15" s="13">
        <v>45345</v>
      </c>
      <c r="C15" s="8">
        <v>5</v>
      </c>
      <c r="D15" s="16">
        <v>178</v>
      </c>
      <c r="E15" s="16">
        <v>210</v>
      </c>
      <c r="F15" s="17">
        <f>IF(Tablo134262728293031353637[[#This Row],[SATIŞ]]=0,"Açık",(E15-D15)*C15-3)</f>
        <v>157</v>
      </c>
      <c r="G15" s="15">
        <f>IF(Tablo134262728293031353637[[#This Row],[ALIŞ]]&gt;0,Tablo134262728293031353637[[#This Row],[ADET]]*Tablo134262728293031353637[[#This Row],[ALIŞ]]+1.5,0)</f>
        <v>891.5</v>
      </c>
      <c r="H15" s="15">
        <f>IF(Tablo134262728293031353637[[#This Row],[SATIŞ]]&gt;0,(Tablo134262728293031353637[[#This Row],[ADET]]*Tablo134262728293031353637[[#This Row],[SATIŞ]]-1.5),0)</f>
        <v>1048.5</v>
      </c>
    </row>
    <row r="16" spans="2:18" ht="21" customHeight="1" x14ac:dyDescent="0.3">
      <c r="B16" s="13">
        <v>45349</v>
      </c>
      <c r="C16" s="8">
        <v>10</v>
      </c>
      <c r="D16" s="16">
        <v>173</v>
      </c>
      <c r="E16" s="16">
        <v>185.37</v>
      </c>
      <c r="F16" s="17">
        <f>IF(Tablo134262728293031353637[[#This Row],[SATIŞ]]=0,"Açık",(E16-D16)*C16-3)</f>
        <v>120.70000000000005</v>
      </c>
      <c r="G16" s="15">
        <f>IF(Tablo134262728293031353637[[#This Row],[ALIŞ]]&gt;0,Tablo134262728293031353637[[#This Row],[ADET]]*Tablo134262728293031353637[[#This Row],[ALIŞ]]+1.5,0)</f>
        <v>1731.5</v>
      </c>
      <c r="H16" s="15">
        <f>IF(Tablo134262728293031353637[[#This Row],[SATIŞ]]&gt;0,(Tablo134262728293031353637[[#This Row],[ADET]]*Tablo134262728293031353637[[#This Row],[SATIŞ]]-1.5),0)</f>
        <v>1852.2</v>
      </c>
    </row>
    <row r="17" spans="2:8" ht="21" customHeight="1" x14ac:dyDescent="0.3">
      <c r="B17" s="13">
        <v>45355</v>
      </c>
      <c r="C17" s="8">
        <v>5</v>
      </c>
      <c r="D17" s="16">
        <v>205</v>
      </c>
      <c r="E17" s="16">
        <v>204</v>
      </c>
      <c r="F17" s="17">
        <f>IF(Tablo134262728293031353637[[#This Row],[SATIŞ]]=0,"Açık",(E17-D17)*C17-3)</f>
        <v>-8</v>
      </c>
      <c r="G17" s="15">
        <f>IF(Tablo134262728293031353637[[#This Row],[ALIŞ]]&gt;0,Tablo134262728293031353637[[#This Row],[ADET]]*Tablo134262728293031353637[[#This Row],[ALIŞ]]+1.5,0)</f>
        <v>1026.5</v>
      </c>
      <c r="H17" s="15">
        <f>IF(Tablo134262728293031353637[[#This Row],[SATIŞ]]&gt;0,(Tablo134262728293031353637[[#This Row],[ADET]]*Tablo134262728293031353637[[#This Row],[SATIŞ]]-1.5),0)</f>
        <v>1018.5</v>
      </c>
    </row>
    <row r="18" spans="2:8" ht="21" customHeight="1" x14ac:dyDescent="0.3">
      <c r="B18" s="13">
        <v>45355</v>
      </c>
      <c r="C18" s="8">
        <v>5</v>
      </c>
      <c r="D18" s="16">
        <v>205</v>
      </c>
      <c r="E18" s="16">
        <v>220</v>
      </c>
      <c r="F18" s="17">
        <f>IF(Tablo134262728293031353637[[#This Row],[SATIŞ]]=0,"Açık",(E18-D18)*C18-3)</f>
        <v>72</v>
      </c>
      <c r="G18" s="15">
        <f>IF(Tablo134262728293031353637[[#This Row],[ALIŞ]]&gt;0,Tablo134262728293031353637[[#This Row],[ADET]]*Tablo134262728293031353637[[#This Row],[ALIŞ]]+1.5,0)</f>
        <v>1026.5</v>
      </c>
      <c r="H18" s="15">
        <f>IF(Tablo134262728293031353637[[#This Row],[SATIŞ]]&gt;0,(Tablo134262728293031353637[[#This Row],[ADET]]*Tablo134262728293031353637[[#This Row],[SATIŞ]]-1.5),0)</f>
        <v>1098.5</v>
      </c>
    </row>
    <row r="19" spans="2:8" ht="21" customHeight="1" x14ac:dyDescent="0.3">
      <c r="B19" s="13">
        <v>45356</v>
      </c>
      <c r="C19" s="8">
        <v>10</v>
      </c>
      <c r="D19" s="16">
        <v>200</v>
      </c>
      <c r="E19" s="16">
        <v>202</v>
      </c>
      <c r="F19" s="17">
        <f>IF(Tablo134262728293031353637[[#This Row],[SATIŞ]]=0,"Açık",(E19-D19)*C19-3)</f>
        <v>17</v>
      </c>
      <c r="G19" s="15">
        <f>IF(Tablo134262728293031353637[[#This Row],[ALIŞ]]&gt;0,Tablo134262728293031353637[[#This Row],[ADET]]*Tablo134262728293031353637[[#This Row],[ALIŞ]]+1.5,0)</f>
        <v>2001.5</v>
      </c>
      <c r="H19" s="15">
        <f>IF(Tablo134262728293031353637[[#This Row],[SATIŞ]]&gt;0,(Tablo134262728293031353637[[#This Row],[ADET]]*Tablo134262728293031353637[[#This Row],[SATIŞ]]-1.5),0)</f>
        <v>2018.5</v>
      </c>
    </row>
    <row r="20" spans="2:8" ht="21" customHeight="1" x14ac:dyDescent="0.3">
      <c r="B20" s="13">
        <v>45359</v>
      </c>
      <c r="C20" s="8">
        <v>5</v>
      </c>
      <c r="D20" s="16">
        <v>205</v>
      </c>
      <c r="F20" s="17" t="str">
        <f>IF(Tablo134262728293031353637[[#This Row],[SATIŞ]]=0,"Açık",(E20-D20)*C20-3)</f>
        <v>Açık</v>
      </c>
      <c r="G20" s="15">
        <f>IF(Tablo134262728293031353637[[#This Row],[ALIŞ]]&gt;0,Tablo134262728293031353637[[#This Row],[ADET]]*Tablo134262728293031353637[[#This Row],[ALIŞ]]+1.5,0)</f>
        <v>1026.5</v>
      </c>
      <c r="H20" s="15">
        <f>IF(Tablo134262728293031353637[[#This Row],[SATIŞ]]&gt;0,(Tablo134262728293031353637[[#This Row],[ADET]]*Tablo134262728293031353637[[#This Row],[SATIŞ]]-1.5),0)</f>
        <v>0</v>
      </c>
    </row>
    <row r="21" spans="2:8" ht="21" customHeight="1" x14ac:dyDescent="0.3">
      <c r="B21" s="13">
        <v>45359</v>
      </c>
      <c r="C21" s="8">
        <v>5</v>
      </c>
      <c r="D21" s="16">
        <v>210</v>
      </c>
      <c r="F21" s="17" t="str">
        <f>IF(Tablo134262728293031353637[[#This Row],[SATIŞ]]=0,"Açık",(E21-D21)*C21-3)</f>
        <v>Açık</v>
      </c>
      <c r="G21" s="15">
        <f>IF(Tablo134262728293031353637[[#This Row],[ALIŞ]]&gt;0,Tablo134262728293031353637[[#This Row],[ADET]]*Tablo134262728293031353637[[#This Row],[ALIŞ]]+1.5,0)</f>
        <v>1051.5</v>
      </c>
      <c r="H21" s="15">
        <f>IF(Tablo134262728293031353637[[#This Row],[SATIŞ]]&gt;0,(Tablo134262728293031353637[[#This Row],[ADET]]*Tablo134262728293031353637[[#This Row],[SATIŞ]]-1.5),0)</f>
        <v>0</v>
      </c>
    </row>
    <row r="22" spans="2:8" ht="21" customHeight="1" x14ac:dyDescent="0.3">
      <c r="B22" s="13"/>
      <c r="F22" s="17" t="str">
        <f>IF(Tablo134262728293031353637[[#This Row],[SATIŞ]]=0,"Açık",(E22-D22)*C22-3)</f>
        <v>Açık</v>
      </c>
      <c r="G22" s="15">
        <f>IF(Tablo134262728293031353637[[#This Row],[ALIŞ]]&gt;0,Tablo134262728293031353637[[#This Row],[ADET]]*Tablo134262728293031353637[[#This Row],[ALIŞ]]+1.5,0)</f>
        <v>0</v>
      </c>
      <c r="H22" s="15">
        <f>IF(Tablo134262728293031353637[[#This Row],[SATIŞ]]&gt;0,(Tablo134262728293031353637[[#This Row],[ADET]]*Tablo134262728293031353637[[#This Row],[SATIŞ]]-1.5),0)</f>
        <v>0</v>
      </c>
    </row>
    <row r="23" spans="2:8" ht="21" customHeight="1" x14ac:dyDescent="0.3">
      <c r="B23" s="13"/>
      <c r="F23" s="17" t="str">
        <f>IF(Tablo134262728293031353637[[#This Row],[SATIŞ]]=0,"Açık",(E23-D23)*C23-3)</f>
        <v>Açık</v>
      </c>
      <c r="G23" s="15">
        <f>IF(Tablo134262728293031353637[[#This Row],[ALIŞ]]&gt;0,Tablo134262728293031353637[[#This Row],[ADET]]*Tablo134262728293031353637[[#This Row],[ALIŞ]]+1.5,0)</f>
        <v>0</v>
      </c>
      <c r="H23" s="15">
        <f>IF(Tablo134262728293031353637[[#This Row],[SATIŞ]]&gt;0,(Tablo134262728293031353637[[#This Row],[ADET]]*Tablo134262728293031353637[[#This Row],[SATIŞ]]-1.5),0)</f>
        <v>0</v>
      </c>
    </row>
    <row r="24" spans="2:8" ht="21" customHeight="1" x14ac:dyDescent="0.3">
      <c r="B24" s="13"/>
      <c r="F24" s="17" t="str">
        <f>IF(Tablo134262728293031353637[[#This Row],[SATIŞ]]=0,"Açık",(E24-D24)*C24-3)</f>
        <v>Açık</v>
      </c>
      <c r="G24" s="15">
        <f>IF(Tablo134262728293031353637[[#This Row],[ALIŞ]]&gt;0,Tablo134262728293031353637[[#This Row],[ADET]]*Tablo134262728293031353637[[#This Row],[ALIŞ]]+1.5,0)</f>
        <v>0</v>
      </c>
      <c r="H24" s="15">
        <f>IF(Tablo134262728293031353637[[#This Row],[SATIŞ]]&gt;0,(Tablo134262728293031353637[[#This Row],[ADET]]*Tablo134262728293031353637[[#This Row],[SATIŞ]]-1.5),0)</f>
        <v>0</v>
      </c>
    </row>
    <row r="25" spans="2:8" ht="21" customHeight="1" x14ac:dyDescent="0.3">
      <c r="B25" s="13"/>
      <c r="F25" s="17" t="str">
        <f>IF(Tablo134262728293031353637[[#This Row],[SATIŞ]]=0,"Açık",(E25-D25)*C25-3)</f>
        <v>Açık</v>
      </c>
      <c r="G25" s="15">
        <f>IF(Tablo134262728293031353637[[#This Row],[ALIŞ]]&gt;0,Tablo134262728293031353637[[#This Row],[ADET]]*Tablo134262728293031353637[[#This Row],[ALIŞ]]+1.5,0)</f>
        <v>0</v>
      </c>
      <c r="H25" s="15">
        <f>IF(Tablo134262728293031353637[[#This Row],[SATIŞ]]&gt;0,(Tablo134262728293031353637[[#This Row],[ADET]]*Tablo134262728293031353637[[#This Row],[SATIŞ]]-1.5),0)</f>
        <v>0</v>
      </c>
    </row>
    <row r="26" spans="2:8" ht="21" customHeight="1" x14ac:dyDescent="0.3">
      <c r="B26" s="13"/>
      <c r="F26" s="17" t="str">
        <f>IF(Tablo134262728293031353637[[#This Row],[SATIŞ]]=0,"Açık",(E26-D26)*C26-3)</f>
        <v>Açık</v>
      </c>
      <c r="G26" s="15">
        <f>IF(Tablo134262728293031353637[[#This Row],[ALIŞ]]&gt;0,Tablo134262728293031353637[[#This Row],[ADET]]*Tablo134262728293031353637[[#This Row],[ALIŞ]]+1.5,0)</f>
        <v>0</v>
      </c>
      <c r="H26" s="15">
        <f>IF(Tablo134262728293031353637[[#This Row],[SATIŞ]]&gt;0,(Tablo134262728293031353637[[#This Row],[ADET]]*Tablo134262728293031353637[[#This Row],[SATIŞ]]-1.5),0)</f>
        <v>0</v>
      </c>
    </row>
    <row r="27" spans="2:8" ht="21" customHeight="1" x14ac:dyDescent="0.3">
      <c r="B27" s="13"/>
      <c r="F27" s="17" t="str">
        <f>IF(Tablo134262728293031353637[[#This Row],[SATIŞ]]=0,"Açık",(E27-D27)*C27-3)</f>
        <v>Açık</v>
      </c>
      <c r="G27" s="15">
        <f>IF(Tablo134262728293031353637[[#This Row],[ALIŞ]]&gt;0,Tablo134262728293031353637[[#This Row],[ADET]]*Tablo134262728293031353637[[#This Row],[ALIŞ]]+1.5,0)</f>
        <v>0</v>
      </c>
      <c r="H27" s="15">
        <f>IF(Tablo134262728293031353637[[#This Row],[SATIŞ]]&gt;0,(Tablo134262728293031353637[[#This Row],[ADET]]*Tablo134262728293031353637[[#This Row],[SATIŞ]]-1.5),0)</f>
        <v>0</v>
      </c>
    </row>
    <row r="28" spans="2:8" ht="21" customHeight="1" x14ac:dyDescent="0.3">
      <c r="B28" s="13"/>
      <c r="F28" s="17" t="str">
        <f>IF(Tablo134262728293031353637[[#This Row],[SATIŞ]]=0,"Açık",(E28-D28)*C28-3)</f>
        <v>Açık</v>
      </c>
      <c r="G28" s="15">
        <f>IF(Tablo134262728293031353637[[#This Row],[ALIŞ]]&gt;0,Tablo134262728293031353637[[#This Row],[ADET]]*Tablo134262728293031353637[[#This Row],[ALIŞ]]+1.5,0)</f>
        <v>0</v>
      </c>
      <c r="H28" s="15">
        <f>IF(Tablo134262728293031353637[[#This Row],[SATIŞ]]&gt;0,(Tablo134262728293031353637[[#This Row],[ADET]]*Tablo134262728293031353637[[#This Row],[SATIŞ]]-1.5),0)</f>
        <v>0</v>
      </c>
    </row>
    <row r="29" spans="2:8" ht="21" customHeight="1" x14ac:dyDescent="0.3">
      <c r="B29" s="13"/>
      <c r="F29" s="17" t="str">
        <f>IF(Tablo134262728293031353637[[#This Row],[SATIŞ]]=0,"Açık",(E29-D29)*C29-3)</f>
        <v>Açık</v>
      </c>
      <c r="G29" s="15">
        <f>IF(Tablo134262728293031353637[[#This Row],[ALIŞ]]&gt;0,Tablo134262728293031353637[[#This Row],[ADET]]*Tablo134262728293031353637[[#This Row],[ALIŞ]]+1.5,0)</f>
        <v>0</v>
      </c>
      <c r="H29" s="15">
        <f>IF(Tablo134262728293031353637[[#This Row],[SATIŞ]]&gt;0,(Tablo134262728293031353637[[#This Row],[ADET]]*Tablo134262728293031353637[[#This Row],[SATIŞ]]-1.5),0)</f>
        <v>0</v>
      </c>
    </row>
  </sheetData>
  <conditionalFormatting sqref="B4:E4 B5:F29">
    <cfRule type="expression" dxfId="209" priority="4">
      <formula>$F4&lt;0</formula>
    </cfRule>
    <cfRule type="expression" dxfId="208" priority="5">
      <formula>$F4="Açık"</formula>
    </cfRule>
    <cfRule type="expression" dxfId="207" priority="6">
      <formula>$F4&gt;0</formula>
    </cfRule>
  </conditionalFormatting>
  <conditionalFormatting sqref="F4">
    <cfRule type="expression" dxfId="206" priority="1">
      <formula>$F4&lt;0</formula>
    </cfRule>
    <cfRule type="expression" dxfId="205" priority="2">
      <formula>$F4="Açık"</formula>
    </cfRule>
    <cfRule type="expression" dxfId="204" priority="3">
      <formula>$F4&gt;0</formula>
    </cfRule>
  </conditionalFormatting>
  <hyperlinks>
    <hyperlink ref="B1" location="İcmal!A1" display="ANA SAYFA" xr:uid="{4B85B87D-3BE7-4016-9D69-F566EFB610CC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10CE-0B0A-47C9-952A-3F708A6036A4}">
  <dimension ref="B1:R27"/>
  <sheetViews>
    <sheetView workbookViewId="0">
      <selection activeCell="E5" sqref="E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SUMIF(Tablo1348913141516171819[KAR],"Açık",Tablo1348913141516171819[ADET])</f>
        <v>0</v>
      </c>
      <c r="D1" s="3"/>
      <c r="E1" s="3">
        <f>C1*D1</f>
        <v>0</v>
      </c>
      <c r="F1" s="3" t="str">
        <f>IFERROR(((SUM(Tablo1348913141516171819[ALIŞ TUTAR])-SUM(Tablo1348913141516171819[SATIŞ TUTAR]))/C1),"")</f>
        <v/>
      </c>
      <c r="G1" s="3">
        <f>IF(M3=0,L3,C1*(D1-F1))</f>
        <v>-74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SUM(Tablo1348913141516171819[KAR])</f>
        <v>-74</v>
      </c>
      <c r="M3" s="12">
        <f>C1</f>
        <v>0</v>
      </c>
    </row>
    <row r="4" spans="2:18" ht="21" customHeight="1" x14ac:dyDescent="0.3">
      <c r="B4" s="13">
        <v>44897</v>
      </c>
      <c r="C4" s="8">
        <v>20</v>
      </c>
      <c r="D4" s="16">
        <v>5.53</v>
      </c>
      <c r="E4" s="3">
        <v>1.98</v>
      </c>
      <c r="F4" s="14">
        <f>IF(Tablo1348913141516171819[[#This Row],[SATIŞ]]=0,"Açık",(E4-D4)*C4-3)</f>
        <v>-74</v>
      </c>
      <c r="G4" s="15">
        <f>IF(Tablo1348913141516171819[[#This Row],[ALIŞ]]&gt;0,Tablo1348913141516171819[[#This Row],[ADET]]*Tablo1348913141516171819[[#This Row],[ALIŞ]]+1.5,0)</f>
        <v>112.10000000000001</v>
      </c>
      <c r="H4" s="15">
        <f>IF(Tablo1348913141516171819[[#This Row],[SATIŞ]]&gt;0,(Tablo1348913141516171819[[#This Row],[ADET]]*Tablo1348913141516171819[[#This Row],[SATIŞ]]-1.5),0)</f>
        <v>38.1</v>
      </c>
      <c r="L4" s="5"/>
      <c r="M4" s="5"/>
      <c r="N4" s="5"/>
    </row>
    <row r="5" spans="2:18" ht="21" customHeight="1" x14ac:dyDescent="0.3">
      <c r="B5" s="13"/>
      <c r="D5" s="16"/>
      <c r="E5" s="3"/>
      <c r="F5" s="14" t="str">
        <f>IF(Tablo1348913141516171819[[#This Row],[SATIŞ]]=0,"Açık",(E5-D5)*C5-3)</f>
        <v>Açık</v>
      </c>
      <c r="G5" s="15">
        <f>IF(Tablo1348913141516171819[[#This Row],[ALIŞ]]&gt;0,Tablo1348913141516171819[[#This Row],[ADET]]*Tablo1348913141516171819[[#This Row],[ALIŞ]]+1.5,0)</f>
        <v>0</v>
      </c>
      <c r="H5" s="15">
        <f>IF(Tablo1348913141516171819[[#This Row],[SATIŞ]]&gt;0,(Tablo1348913141516171819[[#This Row],[ADET]]*Tablo1348913141516171819[[#This Row],[SATIŞ]]-1.5),0)</f>
        <v>0</v>
      </c>
    </row>
    <row r="6" spans="2:18" ht="21" customHeight="1" x14ac:dyDescent="0.3">
      <c r="B6" s="13"/>
      <c r="D6" s="16"/>
      <c r="E6" s="3"/>
      <c r="F6" s="14" t="str">
        <f>IF(Tablo1348913141516171819[[#This Row],[SATIŞ]]=0,"Açık",(E6-D6)*C6-3)</f>
        <v>Açık</v>
      </c>
      <c r="G6" s="15">
        <f>IF(Tablo1348913141516171819[[#This Row],[ALIŞ]]&gt;0,Tablo1348913141516171819[[#This Row],[ADET]]*Tablo1348913141516171819[[#This Row],[ALIŞ]]+1.5,0)</f>
        <v>0</v>
      </c>
      <c r="H6" s="15">
        <f>IF(Tablo1348913141516171819[[#This Row],[SATIŞ]]&gt;0,(Tablo1348913141516171819[[#This Row],[ADET]]*Tablo1348913141516171819[[#This Row],[SATIŞ]]-1.5),0)</f>
        <v>0</v>
      </c>
    </row>
    <row r="7" spans="2:18" ht="21" customHeight="1" x14ac:dyDescent="0.3">
      <c r="B7" s="13"/>
      <c r="D7" s="16"/>
      <c r="E7" s="3"/>
      <c r="F7" s="14" t="str">
        <f>IF(Tablo1348913141516171819[[#This Row],[SATIŞ]]=0,"Açık",(E7-D7)*C7-3)</f>
        <v>Açık</v>
      </c>
      <c r="G7" s="15">
        <f>IF(Tablo1348913141516171819[[#This Row],[ALIŞ]]&gt;0,Tablo1348913141516171819[[#This Row],[ADET]]*Tablo1348913141516171819[[#This Row],[ALIŞ]]+1.5,0)</f>
        <v>0</v>
      </c>
      <c r="H7" s="15">
        <f>IF(Tablo1348913141516171819[[#This Row],[SATIŞ]]&gt;0,(Tablo1348913141516171819[[#This Row],[ADET]]*Tablo1348913141516171819[[#This Row],[SATIŞ]]-1.5),0)</f>
        <v>0</v>
      </c>
    </row>
    <row r="8" spans="2:18" ht="21" customHeight="1" x14ac:dyDescent="0.3">
      <c r="B8" s="13"/>
      <c r="D8" s="16"/>
      <c r="E8" s="3"/>
      <c r="F8" s="14" t="str">
        <f>IF(Tablo1348913141516171819[[#This Row],[SATIŞ]]=0,"Açık",(E8-D8)*C8-3)</f>
        <v>Açık</v>
      </c>
      <c r="G8" s="15">
        <f>IF(Tablo1348913141516171819[[#This Row],[ALIŞ]]&gt;0,Tablo1348913141516171819[[#This Row],[ADET]]*Tablo1348913141516171819[[#This Row],[ALIŞ]]+1.5,0)</f>
        <v>0</v>
      </c>
      <c r="H8" s="15">
        <f>IF(Tablo1348913141516171819[[#This Row],[SATIŞ]]&gt;0,(Tablo1348913141516171819[[#This Row],[ADET]]*Tablo1348913141516171819[[#This Row],[SATIŞ]]-1.5),0)</f>
        <v>0</v>
      </c>
    </row>
    <row r="9" spans="2:18" ht="21" customHeight="1" x14ac:dyDescent="0.3">
      <c r="B9" s="13"/>
      <c r="D9" s="16"/>
      <c r="E9" s="3"/>
      <c r="F9" s="14" t="str">
        <f>IF(Tablo1348913141516171819[[#This Row],[SATIŞ]]=0,"Açık",(E9-D9)*C9-3)</f>
        <v>Açık</v>
      </c>
      <c r="G9" s="15">
        <f>IF(Tablo1348913141516171819[[#This Row],[ALIŞ]]&gt;0,Tablo1348913141516171819[[#This Row],[ADET]]*Tablo1348913141516171819[[#This Row],[ALIŞ]]+1.5,0)</f>
        <v>0</v>
      </c>
      <c r="H9" s="15">
        <f>IF(Tablo1348913141516171819[[#This Row],[SATIŞ]]&gt;0,(Tablo1348913141516171819[[#This Row],[ADET]]*Tablo1348913141516171819[[#This Row],[SATIŞ]]-1.5),0)</f>
        <v>0</v>
      </c>
    </row>
    <row r="10" spans="2:18" ht="21" customHeight="1" x14ac:dyDescent="0.3">
      <c r="B10" s="13"/>
      <c r="D10" s="16"/>
      <c r="E10" s="3"/>
      <c r="F10" s="14" t="str">
        <f>IF(Tablo1348913141516171819[[#This Row],[SATIŞ]]=0,"Açık",(E10-D10)*C10-3)</f>
        <v>Açık</v>
      </c>
      <c r="G10" s="15">
        <f>IF(Tablo1348913141516171819[[#This Row],[ALIŞ]]&gt;0,Tablo1348913141516171819[[#This Row],[ADET]]*Tablo1348913141516171819[[#This Row],[ALIŞ]]+1.5,0)</f>
        <v>0</v>
      </c>
      <c r="H10" s="15">
        <f>IF(Tablo1348913141516171819[[#This Row],[SATIŞ]]&gt;0,(Tablo1348913141516171819[[#This Row],[ADET]]*Tablo1348913141516171819[[#This Row],[SATIŞ]]-1.5),0)</f>
        <v>0</v>
      </c>
    </row>
    <row r="11" spans="2:18" ht="21" customHeight="1" x14ac:dyDescent="0.3">
      <c r="B11" s="13"/>
      <c r="D11" s="16"/>
      <c r="E11" s="3"/>
      <c r="F11" s="14" t="str">
        <f>IF(Tablo1348913141516171819[[#This Row],[SATIŞ]]=0,"Açık",(E11-D11)*C11-3)</f>
        <v>Açık</v>
      </c>
      <c r="G11" s="15">
        <f>IF(Tablo1348913141516171819[[#This Row],[ALIŞ]]&gt;0,Tablo1348913141516171819[[#This Row],[ADET]]*Tablo1348913141516171819[[#This Row],[ALIŞ]]+1.5,0)</f>
        <v>0</v>
      </c>
      <c r="H11" s="15">
        <f>IF(Tablo1348913141516171819[[#This Row],[SATIŞ]]&gt;0,(Tablo1348913141516171819[[#This Row],[ADET]]*Tablo1348913141516171819[[#This Row],[SATIŞ]]-1.5),0)</f>
        <v>0</v>
      </c>
      <c r="J11">
        <f>+Tablo1348913141516171819[[#This Row],[ALIŞ]]*1.02</f>
        <v>0</v>
      </c>
    </row>
    <row r="12" spans="2:18" ht="21" customHeight="1" x14ac:dyDescent="0.3">
      <c r="B12" s="13"/>
      <c r="D12" s="16"/>
      <c r="E12" s="3"/>
      <c r="F12" s="14" t="str">
        <f>IF(Tablo1348913141516171819[[#This Row],[SATIŞ]]=0,"Açık",(E12-D12)*C12-3)</f>
        <v>Açık</v>
      </c>
      <c r="G12" s="15">
        <f>IF(Tablo1348913141516171819[[#This Row],[ALIŞ]]&gt;0,Tablo1348913141516171819[[#This Row],[ADET]]*Tablo1348913141516171819[[#This Row],[ALIŞ]]+1.5,0)</f>
        <v>0</v>
      </c>
      <c r="H12" s="15">
        <f>IF(Tablo1348913141516171819[[#This Row],[SATIŞ]]&gt;0,(Tablo1348913141516171819[[#This Row],[ADET]]*Tablo1348913141516171819[[#This Row],[SATIŞ]]-1.5),0)</f>
        <v>0</v>
      </c>
    </row>
    <row r="13" spans="2:18" ht="21" customHeight="1" x14ac:dyDescent="0.3">
      <c r="B13" s="13"/>
      <c r="D13" s="16"/>
      <c r="E13" s="3"/>
      <c r="F13" s="14" t="str">
        <f>IF(Tablo1348913141516171819[[#This Row],[SATIŞ]]=0,"Açık",(E13-D13)*C13-3)</f>
        <v>Açık</v>
      </c>
      <c r="G13" s="15">
        <f>IF(Tablo1348913141516171819[[#This Row],[ALIŞ]]&gt;0,Tablo1348913141516171819[[#This Row],[ADET]]*Tablo1348913141516171819[[#This Row],[ALIŞ]]+1.5,0)</f>
        <v>0</v>
      </c>
      <c r="H13" s="15">
        <f>IF(Tablo1348913141516171819[[#This Row],[SATIŞ]]&gt;0,(Tablo1348913141516171819[[#This Row],[ADET]]*Tablo1348913141516171819[[#This Row],[SATIŞ]]-1.5),0)</f>
        <v>0</v>
      </c>
    </row>
    <row r="14" spans="2:18" ht="21" customHeight="1" x14ac:dyDescent="0.3">
      <c r="B14" s="13"/>
      <c r="D14" s="16"/>
      <c r="E14" s="3"/>
      <c r="F14" s="14" t="str">
        <f>IF(Tablo1348913141516171819[[#This Row],[SATIŞ]]=0,"Açık",(E14-D14)*C14-3)</f>
        <v>Açık</v>
      </c>
      <c r="G14" s="15">
        <f>IF(Tablo1348913141516171819[[#This Row],[ALIŞ]]&gt;0,Tablo1348913141516171819[[#This Row],[ADET]]*Tablo1348913141516171819[[#This Row],[ALIŞ]]+1.5,0)</f>
        <v>0</v>
      </c>
      <c r="H14" s="15">
        <f>IF(Tablo1348913141516171819[[#This Row],[SATIŞ]]&gt;0,(Tablo1348913141516171819[[#This Row],[ADET]]*Tablo1348913141516171819[[#This Row],[SATIŞ]]-1.5),0)</f>
        <v>0</v>
      </c>
    </row>
    <row r="15" spans="2:18" ht="21" customHeight="1" x14ac:dyDescent="0.3">
      <c r="B15" s="13"/>
      <c r="D15" s="16"/>
      <c r="E15" s="3"/>
      <c r="F15" s="14" t="str">
        <f>IF(Tablo1348913141516171819[[#This Row],[SATIŞ]]=0,"Açık",(E15-D15)*C15-3)</f>
        <v>Açık</v>
      </c>
      <c r="G15" s="15">
        <f>IF(Tablo1348913141516171819[[#This Row],[ALIŞ]]&gt;0,Tablo1348913141516171819[[#This Row],[ADET]]*Tablo1348913141516171819[[#This Row],[ALIŞ]]+1.5,0)</f>
        <v>0</v>
      </c>
      <c r="H15" s="15">
        <f>IF(Tablo1348913141516171819[[#This Row],[SATIŞ]]&gt;0,(Tablo1348913141516171819[[#This Row],[ADET]]*Tablo1348913141516171819[[#This Row],[SATIŞ]]-1.5),0)</f>
        <v>0</v>
      </c>
    </row>
    <row r="16" spans="2:18" ht="21" customHeight="1" x14ac:dyDescent="0.3">
      <c r="B16" s="13"/>
      <c r="D16" s="16"/>
      <c r="E16" s="3"/>
      <c r="F16" s="14" t="str">
        <f>IF(Tablo1348913141516171819[[#This Row],[SATIŞ]]=0,"Açık",(E16-D16)*C16-3)</f>
        <v>Açık</v>
      </c>
      <c r="G16" s="15">
        <f>IF(Tablo1348913141516171819[[#This Row],[ALIŞ]]&gt;0,Tablo1348913141516171819[[#This Row],[ADET]]*Tablo1348913141516171819[[#This Row],[ALIŞ]]+1.5,0)</f>
        <v>0</v>
      </c>
      <c r="H16" s="15">
        <f>IF(Tablo1348913141516171819[[#This Row],[SATIŞ]]&gt;0,(Tablo1348913141516171819[[#This Row],[ADET]]*Tablo1348913141516171819[[#This Row],[SATIŞ]]-1.5),0)</f>
        <v>0</v>
      </c>
    </row>
    <row r="17" spans="2:8" ht="21" customHeight="1" x14ac:dyDescent="0.3">
      <c r="B17" s="13"/>
      <c r="D17" s="16"/>
      <c r="E17" s="3"/>
      <c r="F17" s="14" t="str">
        <f>IF(Tablo1348913141516171819[[#This Row],[SATIŞ]]=0,"Açık",(E17-D17)*C17-3)</f>
        <v>Açık</v>
      </c>
      <c r="G17" s="15">
        <f>IF(Tablo1348913141516171819[[#This Row],[ALIŞ]]&gt;0,Tablo1348913141516171819[[#This Row],[ADET]]*Tablo1348913141516171819[[#This Row],[ALIŞ]]+1.5,0)</f>
        <v>0</v>
      </c>
      <c r="H17" s="15">
        <f>IF(Tablo1348913141516171819[[#This Row],[SATIŞ]]&gt;0,(Tablo1348913141516171819[[#This Row],[ADET]]*Tablo1348913141516171819[[#This Row],[SATIŞ]]-1.5),0)</f>
        <v>0</v>
      </c>
    </row>
    <row r="18" spans="2:8" ht="21" customHeight="1" x14ac:dyDescent="0.3">
      <c r="B18" s="13"/>
      <c r="D18" s="16"/>
      <c r="E18" s="3"/>
      <c r="F18" s="14" t="str">
        <f>IF(Tablo1348913141516171819[[#This Row],[SATIŞ]]=0,"Açık",(E18-D18)*C18-3)</f>
        <v>Açık</v>
      </c>
      <c r="G18" s="15">
        <f>IF(Tablo1348913141516171819[[#This Row],[ALIŞ]]&gt;0,Tablo1348913141516171819[[#This Row],[ADET]]*Tablo1348913141516171819[[#This Row],[ALIŞ]]+1.5,0)</f>
        <v>0</v>
      </c>
      <c r="H18" s="15">
        <f>IF(Tablo1348913141516171819[[#This Row],[SATIŞ]]&gt;0,(Tablo1348913141516171819[[#This Row],[ADET]]*Tablo1348913141516171819[[#This Row],[SATIŞ]]-1.5),0)</f>
        <v>0</v>
      </c>
    </row>
    <row r="19" spans="2:8" ht="21" customHeight="1" x14ac:dyDescent="0.3">
      <c r="B19" s="13"/>
      <c r="D19" s="16"/>
      <c r="E19" s="3"/>
      <c r="F19" s="14" t="str">
        <f>IF(Tablo1348913141516171819[[#This Row],[SATIŞ]]=0,"Açık",(E19-D19)*C19-3)</f>
        <v>Açık</v>
      </c>
      <c r="G19" s="15">
        <f>IF(Tablo1348913141516171819[[#This Row],[ALIŞ]]&gt;0,Tablo1348913141516171819[[#This Row],[ADET]]*Tablo1348913141516171819[[#This Row],[ALIŞ]]+1.5,0)</f>
        <v>0</v>
      </c>
      <c r="H19" s="15">
        <f>IF(Tablo1348913141516171819[[#This Row],[SATIŞ]]&gt;0,(Tablo1348913141516171819[[#This Row],[ADET]]*Tablo1348913141516171819[[#This Row],[SATIŞ]]-1.5),0)</f>
        <v>0</v>
      </c>
    </row>
    <row r="20" spans="2:8" ht="21" customHeight="1" x14ac:dyDescent="0.3">
      <c r="B20" s="13"/>
      <c r="D20" s="16"/>
      <c r="E20" s="3"/>
      <c r="F20" s="14" t="str">
        <f>IF(Tablo1348913141516171819[[#This Row],[SATIŞ]]=0,"Açık",(E20-D20)*C20-3)</f>
        <v>Açık</v>
      </c>
      <c r="G20" s="15">
        <f>IF(Tablo1348913141516171819[[#This Row],[ALIŞ]]&gt;0,Tablo1348913141516171819[[#This Row],[ADET]]*Tablo1348913141516171819[[#This Row],[ALIŞ]]+1.5,0)</f>
        <v>0</v>
      </c>
      <c r="H20" s="15">
        <f>IF(Tablo1348913141516171819[[#This Row],[SATIŞ]]&gt;0,(Tablo1348913141516171819[[#This Row],[ADET]]*Tablo1348913141516171819[[#This Row],[SATIŞ]]-1.5),0)</f>
        <v>0</v>
      </c>
    </row>
    <row r="21" spans="2:8" ht="21" customHeight="1" x14ac:dyDescent="0.3">
      <c r="B21" s="13"/>
      <c r="D21" s="16"/>
      <c r="E21" s="3"/>
      <c r="F21" s="14" t="str">
        <f>IF(Tablo1348913141516171819[[#This Row],[SATIŞ]]=0,"Açık",(E21-D21)*C21-3)</f>
        <v>Açık</v>
      </c>
      <c r="G21" s="15">
        <f>IF(Tablo1348913141516171819[[#This Row],[ALIŞ]]&gt;0,Tablo1348913141516171819[[#This Row],[ADET]]*Tablo1348913141516171819[[#This Row],[ALIŞ]]+1.5,0)</f>
        <v>0</v>
      </c>
      <c r="H21" s="15">
        <f>IF(Tablo1348913141516171819[[#This Row],[SATIŞ]]&gt;0,(Tablo1348913141516171819[[#This Row],[ADET]]*Tablo1348913141516171819[[#This Row],[SATIŞ]]-1.5),0)</f>
        <v>0</v>
      </c>
    </row>
    <row r="22" spans="2:8" ht="21" customHeight="1" x14ac:dyDescent="0.3">
      <c r="B22" s="13"/>
      <c r="D22" s="16"/>
      <c r="E22" s="3"/>
      <c r="F22" s="14" t="str">
        <f>IF(Tablo1348913141516171819[[#This Row],[SATIŞ]]=0,"Açık",(E22-D22)*C22-3)</f>
        <v>Açık</v>
      </c>
      <c r="G22" s="15">
        <f>IF(Tablo1348913141516171819[[#This Row],[ALIŞ]]&gt;0,Tablo1348913141516171819[[#This Row],[ADET]]*Tablo1348913141516171819[[#This Row],[ALIŞ]]+1.5,0)</f>
        <v>0</v>
      </c>
      <c r="H22" s="15">
        <f>IF(Tablo1348913141516171819[[#This Row],[SATIŞ]]&gt;0,(Tablo1348913141516171819[[#This Row],[ADET]]*Tablo1348913141516171819[[#This Row],[SATIŞ]]-1.5),0)</f>
        <v>0</v>
      </c>
    </row>
    <row r="23" spans="2:8" ht="21" customHeight="1" x14ac:dyDescent="0.3">
      <c r="B23" s="13"/>
      <c r="D23" s="16"/>
      <c r="E23" s="3"/>
      <c r="F23" s="14" t="str">
        <f>IF(Tablo1348913141516171819[[#This Row],[SATIŞ]]=0,"Açık",(E23-D23)*C23-3)</f>
        <v>Açık</v>
      </c>
      <c r="G23" s="15">
        <f>IF(Tablo1348913141516171819[[#This Row],[ALIŞ]]&gt;0,Tablo1348913141516171819[[#This Row],[ADET]]*Tablo1348913141516171819[[#This Row],[ALIŞ]]+1.5,0)</f>
        <v>0</v>
      </c>
      <c r="H23" s="15">
        <f>IF(Tablo1348913141516171819[[#This Row],[SATIŞ]]&gt;0,(Tablo1348913141516171819[[#This Row],[ADET]]*Tablo1348913141516171819[[#This Row],[SATIŞ]]-1.5),0)</f>
        <v>0</v>
      </c>
    </row>
    <row r="24" spans="2:8" ht="21" customHeight="1" x14ac:dyDescent="0.3">
      <c r="B24" s="13"/>
      <c r="D24" s="16"/>
      <c r="E24" s="3"/>
      <c r="F24" s="14" t="str">
        <f>IF(Tablo1348913141516171819[[#This Row],[SATIŞ]]=0,"Açık",(E24-D24)*C24-3)</f>
        <v>Açık</v>
      </c>
      <c r="G24" s="15">
        <f>IF(Tablo1348913141516171819[[#This Row],[ALIŞ]]&gt;0,Tablo1348913141516171819[[#This Row],[ADET]]*Tablo1348913141516171819[[#This Row],[ALIŞ]]+1.5,0)</f>
        <v>0</v>
      </c>
      <c r="H24" s="15">
        <f>IF(Tablo1348913141516171819[[#This Row],[SATIŞ]]&gt;0,(Tablo1348913141516171819[[#This Row],[ADET]]*Tablo1348913141516171819[[#This Row],[SATIŞ]]-1.5),0)</f>
        <v>0</v>
      </c>
    </row>
    <row r="25" spans="2:8" ht="21" customHeight="1" x14ac:dyDescent="0.3">
      <c r="B25" s="13"/>
      <c r="D25" s="16"/>
      <c r="E25" s="3"/>
      <c r="F25" s="14" t="str">
        <f>IF(Tablo1348913141516171819[[#This Row],[SATIŞ]]=0,"Açık",(E25-D25)*C25-3)</f>
        <v>Açık</v>
      </c>
      <c r="G25" s="15">
        <f>IF(Tablo1348913141516171819[[#This Row],[ALIŞ]]&gt;0,Tablo1348913141516171819[[#This Row],[ADET]]*Tablo1348913141516171819[[#This Row],[ALIŞ]]+1.5,0)</f>
        <v>0</v>
      </c>
      <c r="H25" s="15">
        <f>IF(Tablo1348913141516171819[[#This Row],[SATIŞ]]&gt;0,(Tablo1348913141516171819[[#This Row],[ADET]]*Tablo1348913141516171819[[#This Row],[SATIŞ]]-1.5),0)</f>
        <v>0</v>
      </c>
    </row>
    <row r="26" spans="2:8" ht="21" customHeight="1" x14ac:dyDescent="0.3">
      <c r="B26" s="13"/>
      <c r="D26" s="16"/>
      <c r="E26" s="3"/>
      <c r="F26" s="14" t="str">
        <f>IF(Tablo1348913141516171819[[#This Row],[SATIŞ]]=0,"Açık",(E26-D26)*C26-3)</f>
        <v>Açık</v>
      </c>
      <c r="G26" s="15">
        <f>IF(Tablo1348913141516171819[[#This Row],[ALIŞ]]&gt;0,Tablo1348913141516171819[[#This Row],[ADET]]*Tablo1348913141516171819[[#This Row],[ALIŞ]]+1.5,0)</f>
        <v>0</v>
      </c>
      <c r="H26" s="15">
        <f>IF(Tablo1348913141516171819[[#This Row],[SATIŞ]]&gt;0,(Tablo1348913141516171819[[#This Row],[ADET]]*Tablo1348913141516171819[[#This Row],[SATIŞ]]-1.5),0)</f>
        <v>0</v>
      </c>
    </row>
    <row r="27" spans="2:8" ht="21" customHeight="1" x14ac:dyDescent="0.3">
      <c r="B27" s="13"/>
      <c r="D27" s="16"/>
      <c r="E27" s="3"/>
      <c r="F27" s="14" t="str">
        <f>IF(Tablo1348913141516171819[[#This Row],[SATIŞ]]=0,"Açık",(E27-D27)*C27-3)</f>
        <v>Açık</v>
      </c>
      <c r="G27" s="15">
        <f>IF(Tablo1348913141516171819[[#This Row],[ALIŞ]]&gt;0,Tablo1348913141516171819[[#This Row],[ADET]]*Tablo1348913141516171819[[#This Row],[ALIŞ]]+1.5,0)</f>
        <v>0</v>
      </c>
      <c r="H27" s="15">
        <f>IF(Tablo1348913141516171819[[#This Row],[SATIŞ]]&gt;0,(Tablo1348913141516171819[[#This Row],[ADET]]*Tablo1348913141516171819[[#This Row],[SATIŞ]]-1.5),0)</f>
        <v>0</v>
      </c>
    </row>
  </sheetData>
  <conditionalFormatting sqref="B4:E4 B5:F27">
    <cfRule type="expression" dxfId="203" priority="4">
      <formula>$F4&lt;0</formula>
    </cfRule>
    <cfRule type="expression" dxfId="202" priority="5">
      <formula>$F4="Açık"</formula>
    </cfRule>
    <cfRule type="expression" dxfId="201" priority="6">
      <formula>$F4&gt;0</formula>
    </cfRule>
  </conditionalFormatting>
  <conditionalFormatting sqref="F4">
    <cfRule type="expression" dxfId="200" priority="1">
      <formula>$F4&lt;0</formula>
    </cfRule>
    <cfRule type="expression" dxfId="199" priority="2">
      <formula>$F4="Açık"</formula>
    </cfRule>
    <cfRule type="expression" dxfId="198" priority="3">
      <formula>$F4&gt;0</formula>
    </cfRule>
  </conditionalFormatting>
  <hyperlinks>
    <hyperlink ref="B1" location="İcmal!A1" display="ANA SAYFA" xr:uid="{007EFD0D-6BF0-459E-8977-66319F4EF802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05CB-F02E-4471-A578-D9E5FAC53187}">
  <dimension ref="B1:R27"/>
  <sheetViews>
    <sheetView workbookViewId="0">
      <selection activeCell="B13" sqref="B13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SUMIF(Tablo13456[KAR],"Açık",Tablo13456[ADET])</f>
        <v>0</v>
      </c>
      <c r="D1" s="3"/>
      <c r="E1" s="3">
        <f>C1*D1</f>
        <v>0</v>
      </c>
      <c r="F1" s="3" t="str">
        <f>IFERROR(((SUM(Tablo13456[ALIŞ TUTAR])-SUM(Tablo13456[SATIŞ TUTAR]))/C1),"")</f>
        <v/>
      </c>
      <c r="G1" s="3">
        <f>IF(M3=0,L3,C1*(D1-F1))</f>
        <v>19.629999999999981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SUM(Tablo13456[KAR])</f>
        <v>19.629999999999981</v>
      </c>
      <c r="M3" s="12">
        <f>C1</f>
        <v>0</v>
      </c>
    </row>
    <row r="4" spans="2:18" ht="21" customHeight="1" x14ac:dyDescent="0.3">
      <c r="B4" s="13">
        <v>44725</v>
      </c>
      <c r="C4" s="8">
        <v>3</v>
      </c>
      <c r="D4" s="3">
        <v>104.78</v>
      </c>
      <c r="E4" s="3">
        <v>111.03</v>
      </c>
      <c r="F4" s="14">
        <f>IF(Tablo13456[[#This Row],[SATIŞ]]=0,"Açık",(E4-D4)*C4-3)</f>
        <v>15.75</v>
      </c>
      <c r="G4" s="15">
        <f>IF(Tablo13456[[#This Row],[ALIŞ]]&gt;0,Tablo13456[[#This Row],[ADET]]*Tablo13456[[#This Row],[ALIŞ]]+1.5,0)</f>
        <v>315.84000000000003</v>
      </c>
      <c r="H4" s="15">
        <f>IF(Tablo13456[[#This Row],[SATIŞ]]&gt;0,(Tablo13456[[#This Row],[ADET]]*Tablo13456[[#This Row],[SATIŞ]]-1.5),0)</f>
        <v>331.59000000000003</v>
      </c>
      <c r="L4" s="5"/>
      <c r="M4" s="5"/>
      <c r="N4" s="5"/>
    </row>
    <row r="5" spans="2:18" ht="21" customHeight="1" x14ac:dyDescent="0.3">
      <c r="B5" s="13">
        <v>44742</v>
      </c>
      <c r="C5" s="8">
        <v>2</v>
      </c>
      <c r="D5" s="3">
        <v>102.7</v>
      </c>
      <c r="E5" s="3">
        <v>107.5</v>
      </c>
      <c r="F5" s="14">
        <f>IF(Tablo13456[[#This Row],[SATIŞ]]=0,"Açık",(E5-D5)*C5-3)</f>
        <v>6.5999999999999943</v>
      </c>
      <c r="G5" s="15">
        <f>IF(Tablo13456[[#This Row],[ALIŞ]]&gt;0,Tablo13456[[#This Row],[ADET]]*Tablo13456[[#This Row],[ALIŞ]]+1.5,0)</f>
        <v>206.9</v>
      </c>
      <c r="H5" s="15">
        <f>IF(Tablo13456[[#This Row],[SATIŞ]]&gt;0,(Tablo13456[[#This Row],[ADET]]*Tablo13456[[#This Row],[SATIŞ]]-1.5),0)</f>
        <v>213.5</v>
      </c>
    </row>
    <row r="6" spans="2:18" ht="21" customHeight="1" x14ac:dyDescent="0.3">
      <c r="B6" s="13">
        <v>44742</v>
      </c>
      <c r="C6" s="8">
        <v>2</v>
      </c>
      <c r="D6" s="3">
        <v>106</v>
      </c>
      <c r="E6" s="3">
        <v>109.1</v>
      </c>
      <c r="F6" s="14">
        <f>IF(Tablo13456[[#This Row],[SATIŞ]]=0,"Açık",(E6-D6)*C6-3)</f>
        <v>3.1999999999999886</v>
      </c>
      <c r="G6" s="15">
        <f>IF(Tablo13456[[#This Row],[ALIŞ]]&gt;0,Tablo13456[[#This Row],[ADET]]*Tablo13456[[#This Row],[ALIŞ]]+1.5,0)</f>
        <v>213.5</v>
      </c>
      <c r="H6" s="15">
        <f>IF(Tablo13456[[#This Row],[SATIŞ]]&gt;0,(Tablo13456[[#This Row],[ADET]]*Tablo13456[[#This Row],[SATIŞ]]-1.5),0)</f>
        <v>216.7</v>
      </c>
    </row>
    <row r="7" spans="2:18" ht="21" customHeight="1" x14ac:dyDescent="0.3">
      <c r="B7" s="13">
        <v>44749</v>
      </c>
      <c r="C7" s="8">
        <v>3</v>
      </c>
      <c r="D7" s="3">
        <v>113.8</v>
      </c>
      <c r="E7" s="3">
        <v>110</v>
      </c>
      <c r="F7" s="14">
        <f>IF(Tablo13456[[#This Row],[SATIŞ]]=0,"Açık",(E7-D7)*C7-3)</f>
        <v>-14.399999999999991</v>
      </c>
      <c r="G7" s="15">
        <f>IF(Tablo13456[[#This Row],[ALIŞ]]&gt;0,Tablo13456[[#This Row],[ADET]]*Tablo13456[[#This Row],[ALIŞ]]+1.5,0)</f>
        <v>342.9</v>
      </c>
      <c r="H7" s="15">
        <f>IF(Tablo13456[[#This Row],[SATIŞ]]&gt;0,(Tablo13456[[#This Row],[ADET]]*Tablo13456[[#This Row],[SATIŞ]]-1.5),0)</f>
        <v>328.5</v>
      </c>
    </row>
    <row r="8" spans="2:18" ht="21" customHeight="1" x14ac:dyDescent="0.3">
      <c r="B8" s="13">
        <v>44750</v>
      </c>
      <c r="C8" s="8">
        <v>1</v>
      </c>
      <c r="D8" s="3">
        <v>115</v>
      </c>
      <c r="E8" s="3">
        <v>100</v>
      </c>
      <c r="F8" s="14">
        <f>IF(Tablo13456[[#This Row],[SATIŞ]]=0,"Açık",(E8-D8)*C8-3)</f>
        <v>-18</v>
      </c>
      <c r="G8" s="15">
        <f>IF(Tablo13456[[#This Row],[ALIŞ]]&gt;0,Tablo13456[[#This Row],[ADET]]*Tablo13456[[#This Row],[ALIŞ]]+1.5,0)</f>
        <v>116.5</v>
      </c>
      <c r="H8" s="15">
        <f>IF(Tablo13456[[#This Row],[SATIŞ]]&gt;0,(Tablo13456[[#This Row],[ADET]]*Tablo13456[[#This Row],[SATIŞ]]-1.5),0)</f>
        <v>98.5</v>
      </c>
    </row>
    <row r="9" spans="2:18" ht="21" customHeight="1" x14ac:dyDescent="0.3">
      <c r="B9" s="13">
        <v>44750</v>
      </c>
      <c r="C9" s="8">
        <v>4</v>
      </c>
      <c r="D9" s="3">
        <v>115</v>
      </c>
      <c r="E9" s="3">
        <v>115</v>
      </c>
      <c r="F9" s="14">
        <f>IF(Tablo13456[[#This Row],[SATIŞ]]=0,"Açık",(E9-D9)*C9-3)</f>
        <v>-3</v>
      </c>
      <c r="G9" s="15">
        <f>IF(Tablo13456[[#This Row],[ALIŞ]]&gt;0,Tablo13456[[#This Row],[ADET]]*Tablo13456[[#This Row],[ALIŞ]]+1.5,0)</f>
        <v>461.5</v>
      </c>
      <c r="H9" s="15">
        <f>IF(Tablo13456[[#This Row],[SATIŞ]]&gt;0,(Tablo13456[[#This Row],[ADET]]*Tablo13456[[#This Row],[SATIŞ]]-1.5),0)</f>
        <v>458.5</v>
      </c>
    </row>
    <row r="10" spans="2:18" ht="21" customHeight="1" x14ac:dyDescent="0.3">
      <c r="B10" s="13">
        <v>44779</v>
      </c>
      <c r="C10" s="8">
        <v>3</v>
      </c>
      <c r="D10" s="3">
        <v>140</v>
      </c>
      <c r="E10" s="3">
        <v>143</v>
      </c>
      <c r="F10" s="14">
        <f>IF(Tablo13456[[#This Row],[SATIŞ]]=0,"Açık",(E10-D10)*C10-3)</f>
        <v>6</v>
      </c>
      <c r="G10" s="15">
        <f>IF(Tablo13456[[#This Row],[ALIŞ]]&gt;0,Tablo13456[[#This Row],[ADET]]*Tablo13456[[#This Row],[ALIŞ]]+1.5,0)</f>
        <v>421.5</v>
      </c>
      <c r="H10" s="15">
        <f>IF(Tablo13456[[#This Row],[SATIŞ]]&gt;0,(Tablo13456[[#This Row],[ADET]]*Tablo13456[[#This Row],[SATIŞ]]-1.5),0)</f>
        <v>427.5</v>
      </c>
    </row>
    <row r="11" spans="2:18" ht="21" customHeight="1" x14ac:dyDescent="0.3">
      <c r="B11" s="13">
        <v>44784</v>
      </c>
      <c r="C11" s="8">
        <v>7</v>
      </c>
      <c r="D11" s="3">
        <v>141</v>
      </c>
      <c r="E11" s="3">
        <v>143</v>
      </c>
      <c r="F11" s="14">
        <f>IF(Tablo13456[[#This Row],[SATIŞ]]=0,"Açık",(E11-D11)*C11-3)</f>
        <v>11</v>
      </c>
      <c r="G11" s="15">
        <f>IF(Tablo13456[[#This Row],[ALIŞ]]&gt;0,Tablo13456[[#This Row],[ADET]]*Tablo13456[[#This Row],[ALIŞ]]+1.5,0)</f>
        <v>988.5</v>
      </c>
      <c r="H11" s="15">
        <f>IF(Tablo13456[[#This Row],[SATIŞ]]&gt;0,(Tablo13456[[#This Row],[ADET]]*Tablo13456[[#This Row],[SATIŞ]]-1.5),0)</f>
        <v>999.5</v>
      </c>
    </row>
    <row r="12" spans="2:18" ht="21" customHeight="1" x14ac:dyDescent="0.3">
      <c r="B12" s="13">
        <v>45065</v>
      </c>
      <c r="C12" s="8">
        <v>3</v>
      </c>
      <c r="D12" s="3">
        <v>116.26</v>
      </c>
      <c r="E12" s="3">
        <v>121.42</v>
      </c>
      <c r="F12" s="14">
        <f>IF(Tablo13456[[#This Row],[SATIŞ]]=0,"Açık",(E12-D12)*C12-3)</f>
        <v>12.47999999999999</v>
      </c>
      <c r="G12" s="15">
        <f>IF(Tablo13456[[#This Row],[ALIŞ]]&gt;0,Tablo13456[[#This Row],[ADET]]*Tablo13456[[#This Row],[ALIŞ]]+1.5,0)</f>
        <v>350.28000000000003</v>
      </c>
      <c r="H12" s="15">
        <f>IF(Tablo13456[[#This Row],[SATIŞ]]&gt;0,(Tablo13456[[#This Row],[ADET]]*Tablo13456[[#This Row],[SATIŞ]]-1.5),0)</f>
        <v>362.76</v>
      </c>
    </row>
    <row r="13" spans="2:18" ht="21" customHeight="1" x14ac:dyDescent="0.3">
      <c r="B13" s="13"/>
      <c r="D13" s="3"/>
      <c r="E13" s="3"/>
      <c r="F13" s="14" t="str">
        <f>IF(Tablo13456[[#This Row],[SATIŞ]]=0,"Açık",(E13-D13)*C13-3)</f>
        <v>Açık</v>
      </c>
      <c r="G13" s="15">
        <f>IF(Tablo13456[[#This Row],[ALIŞ]]&gt;0,Tablo13456[[#This Row],[ADET]]*Tablo13456[[#This Row],[ALIŞ]]+1.5,0)</f>
        <v>0</v>
      </c>
      <c r="H13" s="15">
        <f>IF(Tablo13456[[#This Row],[SATIŞ]]&gt;0,(Tablo13456[[#This Row],[ADET]]*Tablo13456[[#This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IF(Tablo13456[[#This Row],[SATIŞ]]=0,"Açık",(E14-D14)*C14-3)</f>
        <v>Açık</v>
      </c>
      <c r="G14" s="15">
        <f>IF(Tablo13456[[#This Row],[ALIŞ]]&gt;0,Tablo13456[[#This Row],[ADET]]*Tablo13456[[#This Row],[ALIŞ]]+1.5,0)</f>
        <v>0</v>
      </c>
      <c r="H14" s="15">
        <f>IF(Tablo13456[[#This Row],[SATIŞ]]&gt;0,(Tablo13456[[#This Row],[ADET]]*Tablo13456[[#This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IF(Tablo13456[[#This Row],[SATIŞ]]=0,"Açık",(E15-D15)*C15-3)</f>
        <v>Açık</v>
      </c>
      <c r="G15" s="15">
        <f>IF(Tablo13456[[#This Row],[ALIŞ]]&gt;0,Tablo13456[[#This Row],[ADET]]*Tablo13456[[#This Row],[ALIŞ]]+1.5,0)</f>
        <v>0</v>
      </c>
      <c r="H15" s="15">
        <f>IF(Tablo13456[[#This Row],[SATIŞ]]&gt;0,(Tablo13456[[#This Row],[ADET]]*Tablo13456[[#This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IF(Tablo13456[[#This Row],[SATIŞ]]=0,"Açık",(E16-D16)*C16-3)</f>
        <v>Açık</v>
      </c>
      <c r="G16" s="15">
        <f>IF(Tablo13456[[#This Row],[ALIŞ]]&gt;0,Tablo13456[[#This Row],[ADET]]*Tablo13456[[#This Row],[ALIŞ]]+1.5,0)</f>
        <v>0</v>
      </c>
      <c r="H16" s="15">
        <f>IF(Tablo13456[[#This Row],[SATIŞ]]&gt;0,(Tablo13456[[#This Row],[ADET]]*Tablo13456[[#This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IF(Tablo13456[[#This Row],[SATIŞ]]=0,"Açık",(E17-D17)*C17-3)</f>
        <v>Açık</v>
      </c>
      <c r="G17" s="15">
        <f>IF(Tablo13456[[#This Row],[ALIŞ]]&gt;0,Tablo13456[[#This Row],[ADET]]*Tablo13456[[#This Row],[ALIŞ]]+1.5,0)</f>
        <v>0</v>
      </c>
      <c r="H17" s="15">
        <f>IF(Tablo13456[[#This Row],[SATIŞ]]&gt;0,(Tablo13456[[#This Row],[ADET]]*Tablo13456[[#This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IF(Tablo13456[[#This Row],[SATIŞ]]=0,"Açık",(E18-D18)*C18-3)</f>
        <v>Açık</v>
      </c>
      <c r="G18" s="15">
        <f>IF(Tablo13456[[#This Row],[ALIŞ]]&gt;0,Tablo13456[[#This Row],[ADET]]*Tablo13456[[#This Row],[ALIŞ]]+1.5,0)</f>
        <v>0</v>
      </c>
      <c r="H18" s="15">
        <f>IF(Tablo13456[[#This Row],[SATIŞ]]&gt;0,(Tablo13456[[#This Row],[ADET]]*Tablo13456[[#This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IF(Tablo13456[[#This Row],[SATIŞ]]=0,"Açık",(E19-D19)*C19-3)</f>
        <v>Açık</v>
      </c>
      <c r="G19" s="15">
        <f>IF(Tablo13456[[#This Row],[ALIŞ]]&gt;0,Tablo13456[[#This Row],[ADET]]*Tablo13456[[#This Row],[ALIŞ]]+1.5,0)</f>
        <v>0</v>
      </c>
      <c r="H19" s="15">
        <f>IF(Tablo13456[[#This Row],[SATIŞ]]&gt;0,(Tablo13456[[#This Row],[ADET]]*Tablo13456[[#This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IF(Tablo13456[[#This Row],[SATIŞ]]=0,"Açık",(E20-D20)*C20-3)</f>
        <v>Açık</v>
      </c>
      <c r="G20" s="15">
        <f>IF(Tablo13456[[#This Row],[ALIŞ]]&gt;0,Tablo13456[[#This Row],[ADET]]*Tablo13456[[#This Row],[ALIŞ]]+1.5,0)</f>
        <v>0</v>
      </c>
      <c r="H20" s="15">
        <f>IF(Tablo13456[[#This Row],[SATIŞ]]&gt;0,(Tablo13456[[#This Row],[ADET]]*Tablo13456[[#This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IF(Tablo13456[[#This Row],[SATIŞ]]=0,"Açık",(E21-D21)*C21-3)</f>
        <v>Açık</v>
      </c>
      <c r="G21" s="15">
        <f>IF(Tablo13456[[#This Row],[ALIŞ]]&gt;0,Tablo13456[[#This Row],[ADET]]*Tablo13456[[#This Row],[ALIŞ]]+1.5,0)</f>
        <v>0</v>
      </c>
      <c r="H21" s="15">
        <f>IF(Tablo13456[[#This Row],[SATIŞ]]&gt;0,(Tablo13456[[#This Row],[ADET]]*Tablo13456[[#This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IF(Tablo13456[[#This Row],[SATIŞ]]=0,"Açık",(E22-D22)*C22-3)</f>
        <v>Açık</v>
      </c>
      <c r="G22" s="15">
        <f>IF(Tablo13456[[#This Row],[ALIŞ]]&gt;0,Tablo13456[[#This Row],[ADET]]*Tablo13456[[#This Row],[ALIŞ]]+1.5,0)</f>
        <v>0</v>
      </c>
      <c r="H22" s="15">
        <f>IF(Tablo13456[[#This Row],[SATIŞ]]&gt;0,(Tablo13456[[#This Row],[ADET]]*Tablo13456[[#This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IF(Tablo13456[[#This Row],[SATIŞ]]=0,"Açık",(E23-D23)*C23-3)</f>
        <v>Açık</v>
      </c>
      <c r="G23" s="15">
        <f>IF(Tablo13456[[#This Row],[ALIŞ]]&gt;0,Tablo13456[[#This Row],[ADET]]*Tablo13456[[#This Row],[ALIŞ]]+1.5,0)</f>
        <v>0</v>
      </c>
      <c r="H23" s="15">
        <f>IF(Tablo13456[[#This Row],[SATIŞ]]&gt;0,(Tablo13456[[#This Row],[ADET]]*Tablo13456[[#This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IF(Tablo13456[[#This Row],[SATIŞ]]=0,"Açık",(E24-D24)*C24-3)</f>
        <v>Açık</v>
      </c>
      <c r="G24" s="15">
        <f>IF(Tablo13456[[#This Row],[ALIŞ]]&gt;0,Tablo13456[[#This Row],[ADET]]*Tablo13456[[#This Row],[ALIŞ]]+1.5,0)</f>
        <v>0</v>
      </c>
      <c r="H24" s="15">
        <f>IF(Tablo13456[[#This Row],[SATIŞ]]&gt;0,(Tablo13456[[#This Row],[ADET]]*Tablo13456[[#This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IF(Tablo13456[[#This Row],[SATIŞ]]=0,"Açık",(E25-D25)*C25-3)</f>
        <v>Açık</v>
      </c>
      <c r="G25" s="15">
        <f>IF(Tablo13456[[#This Row],[ALIŞ]]&gt;0,Tablo13456[[#This Row],[ADET]]*Tablo13456[[#This Row],[ALIŞ]]+1.5,0)</f>
        <v>0</v>
      </c>
      <c r="H25" s="15">
        <f>IF(Tablo13456[[#This Row],[SATIŞ]]&gt;0,(Tablo13456[[#This Row],[ADET]]*Tablo13456[[#This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IF(Tablo13456[[#This Row],[SATIŞ]]=0,"Açık",(E26-D26)*C26-3)</f>
        <v>Açık</v>
      </c>
      <c r="G26" s="15">
        <f>IF(Tablo13456[[#This Row],[ALIŞ]]&gt;0,Tablo13456[[#This Row],[ADET]]*Tablo13456[[#This Row],[ALIŞ]]+1.5,0)</f>
        <v>0</v>
      </c>
      <c r="H26" s="15">
        <f>IF(Tablo13456[[#This Row],[SATIŞ]]&gt;0,(Tablo13456[[#This Row],[ADET]]*Tablo13456[[#This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IF(Tablo13456[[#This Row],[SATIŞ]]=0,"Açık",(E27-D27)*C27-3)</f>
        <v>Açık</v>
      </c>
      <c r="G27" s="15">
        <f>IF(Tablo13456[[#This Row],[ALIŞ]]&gt;0,Tablo13456[[#This Row],[ADET]]*Tablo13456[[#This Row],[ALIŞ]]+1.5,0)</f>
        <v>0</v>
      </c>
      <c r="H27" s="15">
        <f>IF(Tablo13456[[#This Row],[SATIŞ]]&gt;0,(Tablo13456[[#This Row],[ADET]]*Tablo13456[[#This Row],[SATIŞ]]-1.5),0)</f>
        <v>0</v>
      </c>
    </row>
  </sheetData>
  <conditionalFormatting sqref="B4:E4 B5:F27">
    <cfRule type="expression" dxfId="197" priority="4">
      <formula>$F4&lt;0</formula>
    </cfRule>
    <cfRule type="expression" dxfId="196" priority="5">
      <formula>$F4="Açık"</formula>
    </cfRule>
    <cfRule type="expression" dxfId="195" priority="6">
      <formula>$F4&gt;0</formula>
    </cfRule>
  </conditionalFormatting>
  <conditionalFormatting sqref="F4">
    <cfRule type="expression" dxfId="194" priority="1">
      <formula>$F4&lt;0</formula>
    </cfRule>
    <cfRule type="expression" dxfId="193" priority="2">
      <formula>$F4="Açık"</formula>
    </cfRule>
    <cfRule type="expression" dxfId="192" priority="3">
      <formula>$F4&gt;0</formula>
    </cfRule>
  </conditionalFormatting>
  <hyperlinks>
    <hyperlink ref="B1" location="İcmal!A1" display="ANA SAYFA" xr:uid="{A07FB599-2321-459E-811D-96F1AC81303F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554D-4CE2-4825-8B4F-BF18F7C0AFAA}">
  <dimension ref="B1:R27"/>
  <sheetViews>
    <sheetView workbookViewId="0">
      <selection activeCell="E5" sqref="E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SUMIF(Tablo1348913[KAR],"Açık",Tablo1348913[ADET])</f>
        <v>0</v>
      </c>
      <c r="D1" s="3">
        <f>+İcmal!E8</f>
        <v>0.08</v>
      </c>
      <c r="E1" s="3">
        <f>C1*D1</f>
        <v>0</v>
      </c>
      <c r="F1" s="3" t="str">
        <f>IFERROR(((SUM(Tablo1348913[ALIŞ TUTAR])-SUM(Tablo1348913[SATIŞ TUTAR]))/C1),"")</f>
        <v/>
      </c>
      <c r="G1" s="3">
        <f>IF(M3=0,L3,C1*(D1-F1))</f>
        <v>-24.827999999999999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7.8399999999999997E-2</v>
      </c>
      <c r="Q1" s="6">
        <f>+D1</f>
        <v>0.08</v>
      </c>
      <c r="R1" s="5">
        <f>Q1*(1+$J$1)</f>
        <v>8.1600000000000006E-2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SUM(Tablo1348913[KAR])</f>
        <v>-24.827999999999999</v>
      </c>
      <c r="M3" s="12">
        <f>C1</f>
        <v>0</v>
      </c>
    </row>
    <row r="4" spans="2:18" ht="21" customHeight="1" x14ac:dyDescent="0.3">
      <c r="B4" s="13">
        <v>44864</v>
      </c>
      <c r="C4" s="8">
        <v>30</v>
      </c>
      <c r="D4" s="3">
        <v>0.80759999999999998</v>
      </c>
      <c r="E4" s="3">
        <v>0.08</v>
      </c>
      <c r="F4" s="14">
        <f>IF(Tablo1348913[[#This Row],[SATIŞ]]=0,"Açık",(E4-D4)*C4-3)</f>
        <v>-24.827999999999999</v>
      </c>
      <c r="G4" s="15">
        <f>IF(Tablo1348913[[#This Row],[ALIŞ]]&gt;0,Tablo1348913[[#This Row],[ADET]]*Tablo1348913[[#This Row],[ALIŞ]]+1.5,0)</f>
        <v>25.727999999999998</v>
      </c>
      <c r="H4" s="15">
        <f>IF(Tablo1348913[[#This Row],[SATIŞ]]&gt;0,(Tablo1348913[[#This Row],[ADET]]*Tablo1348913[[#This Row],[SATIŞ]]-1.5),0)</f>
        <v>0.89999999999999991</v>
      </c>
      <c r="L4" s="5"/>
      <c r="M4" s="5"/>
      <c r="N4" s="5"/>
    </row>
    <row r="5" spans="2:18" ht="21" customHeight="1" x14ac:dyDescent="0.3">
      <c r="B5" s="13"/>
      <c r="D5" s="3"/>
      <c r="E5" s="3"/>
      <c r="F5" s="14" t="str">
        <f>IF(Tablo1348913[[#This Row],[SATIŞ]]=0,"Açık",(E5-D5)*C5-3)</f>
        <v>Açık</v>
      </c>
      <c r="G5" s="15">
        <f>IF(Tablo1348913[[#This Row],[ALIŞ]]&gt;0,Tablo1348913[[#This Row],[ADET]]*Tablo1348913[[#This Row],[ALIŞ]]+1.5,0)</f>
        <v>0</v>
      </c>
      <c r="H5" s="15">
        <f>IF(Tablo1348913[[#This Row],[SATIŞ]]&gt;0,(Tablo1348913[[#This Row],[ADET]]*Tablo1348913[[#This Row],[SATIŞ]]-1.5),0)</f>
        <v>0</v>
      </c>
    </row>
    <row r="6" spans="2:18" ht="21" customHeight="1" x14ac:dyDescent="0.3">
      <c r="B6" s="13"/>
      <c r="D6" s="3"/>
      <c r="E6" s="3"/>
      <c r="F6" s="14" t="str">
        <f>IF(Tablo1348913[[#This Row],[SATIŞ]]=0,"Açık",(E6-D6)*C6-3)</f>
        <v>Açık</v>
      </c>
      <c r="G6" s="15">
        <f>IF(Tablo1348913[[#This Row],[ALIŞ]]&gt;0,Tablo1348913[[#This Row],[ADET]]*Tablo1348913[[#This Row],[ALIŞ]]+1.5,0)</f>
        <v>0</v>
      </c>
      <c r="H6" s="15">
        <f>IF(Tablo1348913[[#This Row],[SATIŞ]]&gt;0,(Tablo1348913[[#This Row],[ADET]]*Tablo1348913[[#This Row],[SATIŞ]]-1.5),0)</f>
        <v>0</v>
      </c>
    </row>
    <row r="7" spans="2:18" ht="21" customHeight="1" x14ac:dyDescent="0.3">
      <c r="B7" s="13"/>
      <c r="D7" s="3"/>
      <c r="E7" s="3"/>
      <c r="F7" s="14" t="str">
        <f>IF(Tablo1348913[[#This Row],[SATIŞ]]=0,"Açık",(E7-D7)*C7-3)</f>
        <v>Açık</v>
      </c>
      <c r="G7" s="15">
        <f>IF(Tablo1348913[[#This Row],[ALIŞ]]&gt;0,Tablo1348913[[#This Row],[ADET]]*Tablo1348913[[#This Row],[ALIŞ]]+1.5,0)</f>
        <v>0</v>
      </c>
      <c r="H7" s="15">
        <f>IF(Tablo1348913[[#This Row],[SATIŞ]]&gt;0,(Tablo1348913[[#This Row],[ADET]]*Tablo1348913[[#This Row],[SATIŞ]]-1.5),0)</f>
        <v>0</v>
      </c>
    </row>
    <row r="8" spans="2:18" ht="21" customHeight="1" x14ac:dyDescent="0.3">
      <c r="B8" s="13"/>
      <c r="D8" s="3"/>
      <c r="E8" s="3"/>
      <c r="F8" s="14" t="str">
        <f>IF(Tablo1348913[[#This Row],[SATIŞ]]=0,"Açık",(E8-D8)*C8-3)</f>
        <v>Açık</v>
      </c>
      <c r="G8" s="15">
        <f>IF(Tablo1348913[[#This Row],[ALIŞ]]&gt;0,Tablo1348913[[#This Row],[ADET]]*Tablo1348913[[#This Row],[ALIŞ]]+1.5,0)</f>
        <v>0</v>
      </c>
      <c r="H8" s="15">
        <f>IF(Tablo1348913[[#This Row],[SATIŞ]]&gt;0,(Tablo1348913[[#This Row],[ADET]]*Tablo1348913[[#This Row],[SATIŞ]]-1.5),0)</f>
        <v>0</v>
      </c>
    </row>
    <row r="9" spans="2:18" ht="21" customHeight="1" x14ac:dyDescent="0.3">
      <c r="B9" s="13"/>
      <c r="D9" s="3"/>
      <c r="E9" s="3"/>
      <c r="F9" s="14" t="str">
        <f>IF(Tablo1348913[[#This Row],[SATIŞ]]=0,"Açık",(E9-D9)*C9-3)</f>
        <v>Açık</v>
      </c>
      <c r="G9" s="15">
        <f>IF(Tablo1348913[[#This Row],[ALIŞ]]&gt;0,Tablo1348913[[#This Row],[ADET]]*Tablo1348913[[#This Row],[ALIŞ]]+1.5,0)</f>
        <v>0</v>
      </c>
      <c r="H9" s="15">
        <f>IF(Tablo1348913[[#This Row],[SATIŞ]]&gt;0,(Tablo1348913[[#This Row],[ADET]]*Tablo1348913[[#This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IF(Tablo1348913[[#This Row],[SATIŞ]]=0,"Açık",(E10-D10)*C10-3)</f>
        <v>Açık</v>
      </c>
      <c r="G10" s="15">
        <f>IF(Tablo1348913[[#This Row],[ALIŞ]]&gt;0,Tablo1348913[[#This Row],[ADET]]*Tablo1348913[[#This Row],[ALIŞ]]+1.5,0)</f>
        <v>0</v>
      </c>
      <c r="H10" s="15">
        <f>IF(Tablo1348913[[#This Row],[SATIŞ]]&gt;0,(Tablo1348913[[#This Row],[ADET]]*Tablo1348913[[#This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IF(Tablo1348913[[#This Row],[SATIŞ]]=0,"Açık",(E11-D11)*C11-3)</f>
        <v>Açık</v>
      </c>
      <c r="G11" s="15">
        <f>IF(Tablo1348913[[#This Row],[ALIŞ]]&gt;0,Tablo1348913[[#This Row],[ADET]]*Tablo1348913[[#This Row],[ALIŞ]]+1.5,0)</f>
        <v>0</v>
      </c>
      <c r="H11" s="15">
        <f>IF(Tablo1348913[[#This Row],[SATIŞ]]&gt;0,(Tablo1348913[[#This Row],[ADET]]*Tablo1348913[[#This Row],[SATIŞ]]-1.5),0)</f>
        <v>0</v>
      </c>
      <c r="J11">
        <f>+Tablo1348913[[#This Row],[ALIŞ]]*1.02</f>
        <v>0</v>
      </c>
    </row>
    <row r="12" spans="2:18" ht="21" customHeight="1" x14ac:dyDescent="0.3">
      <c r="B12" s="13"/>
      <c r="D12" s="3"/>
      <c r="E12" s="3"/>
      <c r="F12" s="14" t="str">
        <f>IF(Tablo1348913[[#This Row],[SATIŞ]]=0,"Açık",(E12-D12)*C12-3)</f>
        <v>Açık</v>
      </c>
      <c r="G12" s="15">
        <f>IF(Tablo1348913[[#This Row],[ALIŞ]]&gt;0,Tablo1348913[[#This Row],[ADET]]*Tablo1348913[[#This Row],[ALIŞ]]+1.5,0)</f>
        <v>0</v>
      </c>
      <c r="H12" s="15">
        <f>IF(Tablo1348913[[#This Row],[SATIŞ]]&gt;0,(Tablo1348913[[#This Row],[ADET]]*Tablo1348913[[#This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IF(Tablo1348913[[#This Row],[SATIŞ]]=0,"Açık",(E13-D13)*C13-3)</f>
        <v>Açık</v>
      </c>
      <c r="G13" s="15">
        <f>IF(Tablo1348913[[#This Row],[ALIŞ]]&gt;0,Tablo1348913[[#This Row],[ADET]]*Tablo1348913[[#This Row],[ALIŞ]]+1.5,0)</f>
        <v>0</v>
      </c>
      <c r="H13" s="15">
        <f>IF(Tablo1348913[[#This Row],[SATIŞ]]&gt;0,(Tablo1348913[[#This Row],[ADET]]*Tablo1348913[[#This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IF(Tablo1348913[[#This Row],[SATIŞ]]=0,"Açık",(E14-D14)*C14-3)</f>
        <v>Açık</v>
      </c>
      <c r="G14" s="15">
        <f>IF(Tablo1348913[[#This Row],[ALIŞ]]&gt;0,Tablo1348913[[#This Row],[ADET]]*Tablo1348913[[#This Row],[ALIŞ]]+1.5,0)</f>
        <v>0</v>
      </c>
      <c r="H14" s="15">
        <f>IF(Tablo1348913[[#This Row],[SATIŞ]]&gt;0,(Tablo1348913[[#This Row],[ADET]]*Tablo1348913[[#This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IF(Tablo1348913[[#This Row],[SATIŞ]]=0,"Açık",(E15-D15)*C15-3)</f>
        <v>Açık</v>
      </c>
      <c r="G15" s="15">
        <f>IF(Tablo1348913[[#This Row],[ALIŞ]]&gt;0,Tablo1348913[[#This Row],[ADET]]*Tablo1348913[[#This Row],[ALIŞ]]+1.5,0)</f>
        <v>0</v>
      </c>
      <c r="H15" s="15">
        <f>IF(Tablo1348913[[#This Row],[SATIŞ]]&gt;0,(Tablo1348913[[#This Row],[ADET]]*Tablo1348913[[#This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IF(Tablo1348913[[#This Row],[SATIŞ]]=0,"Açık",(E16-D16)*C16-3)</f>
        <v>Açık</v>
      </c>
      <c r="G16" s="15">
        <f>IF(Tablo1348913[[#This Row],[ALIŞ]]&gt;0,Tablo1348913[[#This Row],[ADET]]*Tablo1348913[[#This Row],[ALIŞ]]+1.5,0)</f>
        <v>0</v>
      </c>
      <c r="H16" s="15">
        <f>IF(Tablo1348913[[#This Row],[SATIŞ]]&gt;0,(Tablo1348913[[#This Row],[ADET]]*Tablo1348913[[#This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IF(Tablo1348913[[#This Row],[SATIŞ]]=0,"Açık",(E17-D17)*C17-3)</f>
        <v>Açık</v>
      </c>
      <c r="G17" s="15">
        <f>IF(Tablo1348913[[#This Row],[ALIŞ]]&gt;0,Tablo1348913[[#This Row],[ADET]]*Tablo1348913[[#This Row],[ALIŞ]]+1.5,0)</f>
        <v>0</v>
      </c>
      <c r="H17" s="15">
        <f>IF(Tablo1348913[[#This Row],[SATIŞ]]&gt;0,(Tablo1348913[[#This Row],[ADET]]*Tablo1348913[[#This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IF(Tablo1348913[[#This Row],[SATIŞ]]=0,"Açık",(E18-D18)*C18-3)</f>
        <v>Açık</v>
      </c>
      <c r="G18" s="15">
        <f>IF(Tablo1348913[[#This Row],[ALIŞ]]&gt;0,Tablo1348913[[#This Row],[ADET]]*Tablo1348913[[#This Row],[ALIŞ]]+1.5,0)</f>
        <v>0</v>
      </c>
      <c r="H18" s="15">
        <f>IF(Tablo1348913[[#This Row],[SATIŞ]]&gt;0,(Tablo1348913[[#This Row],[ADET]]*Tablo1348913[[#This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IF(Tablo1348913[[#This Row],[SATIŞ]]=0,"Açık",(E19-D19)*C19-3)</f>
        <v>Açık</v>
      </c>
      <c r="G19" s="15">
        <f>IF(Tablo1348913[[#This Row],[ALIŞ]]&gt;0,Tablo1348913[[#This Row],[ADET]]*Tablo1348913[[#This Row],[ALIŞ]]+1.5,0)</f>
        <v>0</v>
      </c>
      <c r="H19" s="15">
        <f>IF(Tablo1348913[[#This Row],[SATIŞ]]&gt;0,(Tablo1348913[[#This Row],[ADET]]*Tablo1348913[[#This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IF(Tablo1348913[[#This Row],[SATIŞ]]=0,"Açık",(E20-D20)*C20-3)</f>
        <v>Açık</v>
      </c>
      <c r="G20" s="15">
        <f>IF(Tablo1348913[[#This Row],[ALIŞ]]&gt;0,Tablo1348913[[#This Row],[ADET]]*Tablo1348913[[#This Row],[ALIŞ]]+1.5,0)</f>
        <v>0</v>
      </c>
      <c r="H20" s="15">
        <f>IF(Tablo1348913[[#This Row],[SATIŞ]]&gt;0,(Tablo1348913[[#This Row],[ADET]]*Tablo1348913[[#This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IF(Tablo1348913[[#This Row],[SATIŞ]]=0,"Açık",(E21-D21)*C21-3)</f>
        <v>Açık</v>
      </c>
      <c r="G21" s="15">
        <f>IF(Tablo1348913[[#This Row],[ALIŞ]]&gt;0,Tablo1348913[[#This Row],[ADET]]*Tablo1348913[[#This Row],[ALIŞ]]+1.5,0)</f>
        <v>0</v>
      </c>
      <c r="H21" s="15">
        <f>IF(Tablo1348913[[#This Row],[SATIŞ]]&gt;0,(Tablo1348913[[#This Row],[ADET]]*Tablo1348913[[#This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IF(Tablo1348913[[#This Row],[SATIŞ]]=0,"Açık",(E22-D22)*C22-3)</f>
        <v>Açık</v>
      </c>
      <c r="G22" s="15">
        <f>IF(Tablo1348913[[#This Row],[ALIŞ]]&gt;0,Tablo1348913[[#This Row],[ADET]]*Tablo1348913[[#This Row],[ALIŞ]]+1.5,0)</f>
        <v>0</v>
      </c>
      <c r="H22" s="15">
        <f>IF(Tablo1348913[[#This Row],[SATIŞ]]&gt;0,(Tablo1348913[[#This Row],[ADET]]*Tablo1348913[[#This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IF(Tablo1348913[[#This Row],[SATIŞ]]=0,"Açık",(E23-D23)*C23-3)</f>
        <v>Açık</v>
      </c>
      <c r="G23" s="15">
        <f>IF(Tablo1348913[[#This Row],[ALIŞ]]&gt;0,Tablo1348913[[#This Row],[ADET]]*Tablo1348913[[#This Row],[ALIŞ]]+1.5,0)</f>
        <v>0</v>
      </c>
      <c r="H23" s="15">
        <f>IF(Tablo1348913[[#This Row],[SATIŞ]]&gt;0,(Tablo1348913[[#This Row],[ADET]]*Tablo1348913[[#This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IF(Tablo1348913[[#This Row],[SATIŞ]]=0,"Açık",(E24-D24)*C24-3)</f>
        <v>Açık</v>
      </c>
      <c r="G24" s="15">
        <f>IF(Tablo1348913[[#This Row],[ALIŞ]]&gt;0,Tablo1348913[[#This Row],[ADET]]*Tablo1348913[[#This Row],[ALIŞ]]+1.5,0)</f>
        <v>0</v>
      </c>
      <c r="H24" s="15">
        <f>IF(Tablo1348913[[#This Row],[SATIŞ]]&gt;0,(Tablo1348913[[#This Row],[ADET]]*Tablo1348913[[#This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IF(Tablo1348913[[#This Row],[SATIŞ]]=0,"Açık",(E25-D25)*C25-3)</f>
        <v>Açık</v>
      </c>
      <c r="G25" s="15">
        <f>IF(Tablo1348913[[#This Row],[ALIŞ]]&gt;0,Tablo1348913[[#This Row],[ADET]]*Tablo1348913[[#This Row],[ALIŞ]]+1.5,0)</f>
        <v>0</v>
      </c>
      <c r="H25" s="15">
        <f>IF(Tablo1348913[[#This Row],[SATIŞ]]&gt;0,(Tablo1348913[[#This Row],[ADET]]*Tablo1348913[[#This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IF(Tablo1348913[[#This Row],[SATIŞ]]=0,"Açık",(E26-D26)*C26-3)</f>
        <v>Açık</v>
      </c>
      <c r="G26" s="15">
        <f>IF(Tablo1348913[[#This Row],[ALIŞ]]&gt;0,Tablo1348913[[#This Row],[ADET]]*Tablo1348913[[#This Row],[ALIŞ]]+1.5,0)</f>
        <v>0</v>
      </c>
      <c r="H26" s="15">
        <f>IF(Tablo1348913[[#This Row],[SATIŞ]]&gt;0,(Tablo1348913[[#This Row],[ADET]]*Tablo1348913[[#This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IF(Tablo1348913[[#This Row],[SATIŞ]]=0,"Açık",(E27-D27)*C27-3)</f>
        <v>Açık</v>
      </c>
      <c r="G27" s="15">
        <f>IF(Tablo1348913[[#This Row],[ALIŞ]]&gt;0,Tablo1348913[[#This Row],[ADET]]*Tablo1348913[[#This Row],[ALIŞ]]+1.5,0)</f>
        <v>0</v>
      </c>
      <c r="H27" s="15">
        <f>IF(Tablo1348913[[#This Row],[SATIŞ]]&gt;0,(Tablo1348913[[#This Row],[ADET]]*Tablo1348913[[#This Row],[SATIŞ]]-1.5),0)</f>
        <v>0</v>
      </c>
    </row>
  </sheetData>
  <conditionalFormatting sqref="B4:E4 B5:F27">
    <cfRule type="expression" dxfId="191" priority="4">
      <formula>$F4&lt;0</formula>
    </cfRule>
    <cfRule type="expression" dxfId="190" priority="5">
      <formula>$F4="Açık"</formula>
    </cfRule>
    <cfRule type="expression" dxfId="189" priority="6">
      <formula>$F4&gt;0</formula>
    </cfRule>
  </conditionalFormatting>
  <conditionalFormatting sqref="F4">
    <cfRule type="expression" dxfId="188" priority="1">
      <formula>$F4&lt;0</formula>
    </cfRule>
    <cfRule type="expression" dxfId="187" priority="2">
      <formula>$F4="Açık"</formula>
    </cfRule>
    <cfRule type="expression" dxfId="186" priority="3">
      <formula>$F4&gt;0</formula>
    </cfRule>
  </conditionalFormatting>
  <hyperlinks>
    <hyperlink ref="B1" location="İcmal!A1" display="ANA SAYFA" xr:uid="{6E93B2C5-6977-4758-9DE8-224BBD4E2400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3067-6089-4F64-A7C6-DEB93B1754D7}">
  <dimension ref="B1:R27"/>
  <sheetViews>
    <sheetView workbookViewId="0">
      <selection activeCell="D15" sqref="D1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SUMIF(Tablo1348222324[KAR],"Açık",Tablo1348222324[ADET])</f>
        <v>156</v>
      </c>
      <c r="D1" s="16">
        <f>+İcmal!E9</f>
        <v>29.6</v>
      </c>
      <c r="E1" s="16">
        <f>C1*D1</f>
        <v>4617.6000000000004</v>
      </c>
      <c r="F1" s="3">
        <f>IFERROR(((SUM(Tablo1348222324[ALIŞ TUTAR])-SUM(Tablo1348222324[SATIŞ TUTAR]))/C1),"")</f>
        <v>30.131025641025644</v>
      </c>
      <c r="G1" s="3">
        <f>IF(M3=0,L3,C1*(D1-F1))</f>
        <v>-82.840000000000288</v>
      </c>
      <c r="J1" s="4">
        <v>0.02</v>
      </c>
      <c r="L1" s="5">
        <f>M1*(1-$J$1)</f>
        <v>29.528405128205129</v>
      </c>
      <c r="M1" s="6">
        <f>F1</f>
        <v>30.131025641025644</v>
      </c>
      <c r="N1" s="5">
        <f>M1*(1+$J$1)</f>
        <v>30.733646153846159</v>
      </c>
      <c r="P1" s="5">
        <f>Q1*(1-$J$1)</f>
        <v>29.007999999999999</v>
      </c>
      <c r="Q1" s="6">
        <f>+D1</f>
        <v>29.6</v>
      </c>
      <c r="R1" s="5">
        <f>Q1*(1+$J$1)</f>
        <v>30.192000000000004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0" t="s">
        <v>5</v>
      </c>
      <c r="G3" s="9" t="s">
        <v>6</v>
      </c>
      <c r="H3" s="9" t="s">
        <v>7</v>
      </c>
      <c r="L3" s="6">
        <f>SUM(Tablo1348222324[KAR])</f>
        <v>21.100000000000023</v>
      </c>
      <c r="M3" s="12">
        <f>C1</f>
        <v>156</v>
      </c>
    </row>
    <row r="4" spans="2:18" ht="21" customHeight="1" x14ac:dyDescent="0.3">
      <c r="B4" s="13">
        <v>45096</v>
      </c>
      <c r="C4" s="8">
        <v>14</v>
      </c>
      <c r="D4" s="16">
        <v>14.86</v>
      </c>
      <c r="F4" s="14" t="str">
        <f>IF(Tablo1348222324[[#This Row],[SATIŞ]]=0,"Açık",(E4-D4)*C4-3)</f>
        <v>Açık</v>
      </c>
      <c r="G4" s="15">
        <f>IF(Tablo1348222324[[#This Row],[ALIŞ]]&gt;0,Tablo1348222324[[#This Row],[ADET]]*Tablo1348222324[[#This Row],[ALIŞ]]+1.5,0)</f>
        <v>209.54</v>
      </c>
      <c r="H4" s="15">
        <f>IF(Tablo1348222324[[#This Row],[SATIŞ]]&gt;0,(Tablo1348222324[[#This Row],[ADET]]*Tablo1348222324[[#This Row],[SATIŞ]]-1.5),0)</f>
        <v>0</v>
      </c>
      <c r="L4" s="5"/>
      <c r="M4" s="5"/>
      <c r="N4" s="5"/>
    </row>
    <row r="5" spans="2:18" ht="21" customHeight="1" x14ac:dyDescent="0.3">
      <c r="B5" s="13">
        <v>45339</v>
      </c>
      <c r="C5" s="8">
        <v>10</v>
      </c>
      <c r="D5" s="16">
        <v>37</v>
      </c>
      <c r="E5" s="16">
        <v>34.81</v>
      </c>
      <c r="F5" s="14">
        <f>IF(Tablo1348222324[[#This Row],[SATIŞ]]=0,"Açık",(E5-D5)*C5-3)</f>
        <v>-24.899999999999977</v>
      </c>
      <c r="G5" s="15">
        <f>IF(Tablo1348222324[[#This Row],[ALIŞ]]&gt;0,Tablo1348222324[[#This Row],[ADET]]*Tablo1348222324[[#This Row],[ALIŞ]]+1.5,0)</f>
        <v>371.5</v>
      </c>
      <c r="H5" s="15">
        <f>IF(Tablo1348222324[[#This Row],[SATIŞ]]&gt;0,(Tablo1348222324[[#This Row],[ADET]]*Tablo1348222324[[#This Row],[SATIŞ]]-1.5),0)</f>
        <v>346.6</v>
      </c>
    </row>
    <row r="6" spans="2:18" ht="21" customHeight="1" x14ac:dyDescent="0.3">
      <c r="B6" s="13">
        <v>45339</v>
      </c>
      <c r="C6" s="8">
        <v>17</v>
      </c>
      <c r="D6" s="16">
        <v>37</v>
      </c>
      <c r="F6" s="14" t="str">
        <f>IF(Tablo1348222324[[#This Row],[SATIŞ]]=0,"Açık",(E6-D6)*C6-3)</f>
        <v>Açık</v>
      </c>
      <c r="G6" s="15">
        <f>IF(Tablo1348222324[[#This Row],[ALIŞ]]&gt;0,Tablo1348222324[[#This Row],[ADET]]*Tablo1348222324[[#This Row],[ALIŞ]]+1.5,0)</f>
        <v>630.5</v>
      </c>
      <c r="H6" s="15">
        <f>IF(Tablo1348222324[[#This Row],[SATIŞ]]&gt;0,(Tablo1348222324[[#This Row],[ADET]]*Tablo1348222324[[#This Row],[SATIŞ]]-1.5),0)</f>
        <v>0</v>
      </c>
    </row>
    <row r="7" spans="2:18" ht="21" customHeight="1" x14ac:dyDescent="0.3">
      <c r="B7" s="13">
        <v>45355</v>
      </c>
      <c r="C7" s="8">
        <v>20</v>
      </c>
      <c r="D7" s="16">
        <v>35</v>
      </c>
      <c r="F7" s="14" t="str">
        <f>IF(Tablo1348222324[[#This Row],[SATIŞ]]=0,"Açık",(E7-D7)*C7-3)</f>
        <v>Açık</v>
      </c>
      <c r="G7" s="15">
        <f>IF(Tablo1348222324[[#This Row],[ALIŞ]]&gt;0,Tablo1348222324[[#This Row],[ADET]]*Tablo1348222324[[#This Row],[ALIŞ]]+1.5,0)</f>
        <v>701.5</v>
      </c>
      <c r="H7" s="15">
        <f>IF(Tablo1348222324[[#This Row],[SATIŞ]]&gt;0,(Tablo1348222324[[#This Row],[ADET]]*Tablo1348222324[[#This Row],[SATIŞ]]-1.5),0)</f>
        <v>0</v>
      </c>
    </row>
    <row r="8" spans="2:18" ht="21" customHeight="1" x14ac:dyDescent="0.3">
      <c r="B8" s="13">
        <v>45355</v>
      </c>
      <c r="C8" s="8">
        <v>20</v>
      </c>
      <c r="D8" s="16">
        <v>32</v>
      </c>
      <c r="F8" s="14" t="str">
        <f>IF(Tablo1348222324[[#This Row],[SATIŞ]]=0,"Açık",(E8-D8)*C8-3)</f>
        <v>Açık</v>
      </c>
      <c r="G8" s="15">
        <f>IF(Tablo1348222324[[#This Row],[ALIŞ]]&gt;0,Tablo1348222324[[#This Row],[ADET]]*Tablo1348222324[[#This Row],[ALIŞ]]+1.5,0)</f>
        <v>641.5</v>
      </c>
      <c r="H8" s="15">
        <f>IF(Tablo1348222324[[#This Row],[SATIŞ]]&gt;0,(Tablo1348222324[[#This Row],[ADET]]*Tablo1348222324[[#This Row],[SATIŞ]]-1.5),0)</f>
        <v>0</v>
      </c>
    </row>
    <row r="9" spans="2:18" ht="21" customHeight="1" x14ac:dyDescent="0.3">
      <c r="B9" s="13">
        <v>45355</v>
      </c>
      <c r="C9" s="8">
        <v>10</v>
      </c>
      <c r="D9" s="16">
        <v>32</v>
      </c>
      <c r="F9" s="14" t="str">
        <f>IF(Tablo1348222324[[#This Row],[SATIŞ]]=0,"Açık",(E9-D9)*C9-3)</f>
        <v>Açık</v>
      </c>
      <c r="G9" s="15">
        <f>IF(Tablo1348222324[[#This Row],[ALIŞ]]&gt;0,Tablo1348222324[[#This Row],[ADET]]*Tablo1348222324[[#This Row],[ALIŞ]]+1.5,0)</f>
        <v>321.5</v>
      </c>
      <c r="H9" s="15">
        <f>IF(Tablo1348222324[[#This Row],[SATIŞ]]&gt;0,(Tablo1348222324[[#This Row],[ADET]]*Tablo1348222324[[#This Row],[SATIŞ]]-1.5),0)</f>
        <v>0</v>
      </c>
    </row>
    <row r="10" spans="2:18" ht="21" customHeight="1" x14ac:dyDescent="0.3">
      <c r="B10" s="13">
        <v>45356</v>
      </c>
      <c r="C10" s="8">
        <v>30</v>
      </c>
      <c r="D10" s="16">
        <v>30</v>
      </c>
      <c r="E10" s="16">
        <v>31</v>
      </c>
      <c r="F10" s="14">
        <f>IF(Tablo1348222324[[#This Row],[SATIŞ]]=0,"Açık",(E10-D10)*C10-3)</f>
        <v>27</v>
      </c>
      <c r="G10" s="15">
        <f>IF(Tablo1348222324[[#This Row],[ALIŞ]]&gt;0,Tablo1348222324[[#This Row],[ADET]]*Tablo1348222324[[#This Row],[ALIŞ]]+1.5,0)</f>
        <v>901.5</v>
      </c>
      <c r="H10" s="15">
        <f>IF(Tablo1348222324[[#This Row],[SATIŞ]]&gt;0,(Tablo1348222324[[#This Row],[ADET]]*Tablo1348222324[[#This Row],[SATIŞ]]-1.5),0)</f>
        <v>928.5</v>
      </c>
    </row>
    <row r="11" spans="2:18" ht="21" customHeight="1" x14ac:dyDescent="0.3">
      <c r="B11" s="13">
        <v>45356</v>
      </c>
      <c r="C11" s="8">
        <v>25</v>
      </c>
      <c r="D11" s="16">
        <v>29.5</v>
      </c>
      <c r="E11" s="16">
        <v>30</v>
      </c>
      <c r="F11" s="14">
        <f>IF(Tablo1348222324[[#This Row],[SATIŞ]]=0,"Açık",(E11-D11)*C11-3)</f>
        <v>9.5</v>
      </c>
      <c r="G11" s="15">
        <f>IF(Tablo1348222324[[#This Row],[ALIŞ]]&gt;0,Tablo1348222324[[#This Row],[ADET]]*Tablo1348222324[[#This Row],[ALIŞ]]+1.5,0)</f>
        <v>739</v>
      </c>
      <c r="H11" s="15">
        <f>IF(Tablo1348222324[[#This Row],[SATIŞ]]&gt;0,(Tablo1348222324[[#This Row],[ADET]]*Tablo1348222324[[#This Row],[SATIŞ]]-1.5),0)</f>
        <v>748.5</v>
      </c>
      <c r="J11">
        <f>+Tablo1348222324[[#This Row],[ALIŞ]]*1.02</f>
        <v>30.09</v>
      </c>
    </row>
    <row r="12" spans="2:18" ht="21" customHeight="1" x14ac:dyDescent="0.3">
      <c r="B12" s="13">
        <v>45356</v>
      </c>
      <c r="C12" s="8">
        <v>25</v>
      </c>
      <c r="D12" s="16">
        <v>29.5</v>
      </c>
      <c r="E12" s="16">
        <v>30</v>
      </c>
      <c r="F12" s="14">
        <f>IF(Tablo1348222324[[#This Row],[SATIŞ]]=0,"Açık",(E12-D12)*C12-3)</f>
        <v>9.5</v>
      </c>
      <c r="G12" s="15">
        <f>IF(Tablo1348222324[[#This Row],[ALIŞ]]&gt;0,Tablo1348222324[[#This Row],[ADET]]*Tablo1348222324[[#This Row],[ALIŞ]]+1.5,0)</f>
        <v>739</v>
      </c>
      <c r="H12" s="15">
        <f>IF(Tablo1348222324[[#This Row],[SATIŞ]]&gt;0,(Tablo1348222324[[#This Row],[ADET]]*Tablo1348222324[[#This Row],[SATIŞ]]-1.5),0)</f>
        <v>748.5</v>
      </c>
    </row>
    <row r="13" spans="2:18" ht="21" customHeight="1" x14ac:dyDescent="0.3">
      <c r="B13" s="13">
        <v>45357</v>
      </c>
      <c r="C13" s="8">
        <v>25</v>
      </c>
      <c r="D13" s="16">
        <v>29.5</v>
      </c>
      <c r="F13" s="14" t="str">
        <f>IF(Tablo1348222324[[#This Row],[SATIŞ]]=0,"Açık",(E13-D13)*C13-3)</f>
        <v>Açık</v>
      </c>
      <c r="G13" s="15">
        <f>IF(Tablo1348222324[[#This Row],[ALIŞ]]&gt;0,Tablo1348222324[[#This Row],[ADET]]*Tablo1348222324[[#This Row],[ALIŞ]]+1.5,0)</f>
        <v>739</v>
      </c>
      <c r="H13" s="15">
        <f>IF(Tablo1348222324[[#This Row],[SATIŞ]]&gt;0,(Tablo1348222324[[#This Row],[ADET]]*Tablo1348222324[[#This Row],[SATIŞ]]-1.5),0)</f>
        <v>0</v>
      </c>
    </row>
    <row r="14" spans="2:18" ht="21" customHeight="1" x14ac:dyDescent="0.3">
      <c r="B14" s="13">
        <v>45357</v>
      </c>
      <c r="C14" s="8">
        <v>25</v>
      </c>
      <c r="D14" s="16">
        <v>30</v>
      </c>
      <c r="F14" s="14" t="str">
        <f>IF(Tablo1348222324[[#This Row],[SATIŞ]]=0,"Açık",(E14-D14)*C14-3)</f>
        <v>Açık</v>
      </c>
      <c r="G14" s="15">
        <f>IF(Tablo1348222324[[#This Row],[ALIŞ]]&gt;0,Tablo1348222324[[#This Row],[ADET]]*Tablo1348222324[[#This Row],[ALIŞ]]+1.5,0)</f>
        <v>751.5</v>
      </c>
      <c r="H14" s="15">
        <f>IF(Tablo1348222324[[#This Row],[SATIŞ]]&gt;0,(Tablo1348222324[[#This Row],[ADET]]*Tablo1348222324[[#This Row],[SATIŞ]]-1.5),0)</f>
        <v>0</v>
      </c>
    </row>
    <row r="15" spans="2:18" ht="21" customHeight="1" x14ac:dyDescent="0.3">
      <c r="B15" s="13">
        <v>45359</v>
      </c>
      <c r="C15" s="8">
        <v>25</v>
      </c>
      <c r="D15" s="16">
        <v>29</v>
      </c>
      <c r="F15" s="14" t="str">
        <f>IF(Tablo1348222324[[#This Row],[SATIŞ]]=0,"Açık",(E15-D15)*C15-3)</f>
        <v>Açık</v>
      </c>
      <c r="G15" s="15">
        <f>IF(Tablo1348222324[[#This Row],[ALIŞ]]&gt;0,Tablo1348222324[[#This Row],[ADET]]*Tablo1348222324[[#This Row],[ALIŞ]]+1.5,0)</f>
        <v>726.5</v>
      </c>
      <c r="H15" s="15">
        <f>IF(Tablo1348222324[[#This Row],[SATIŞ]]&gt;0,(Tablo1348222324[[#This Row],[ADET]]*Tablo1348222324[[#This Row],[SATIŞ]]-1.5),0)</f>
        <v>0</v>
      </c>
    </row>
    <row r="16" spans="2:18" ht="21" customHeight="1" x14ac:dyDescent="0.3">
      <c r="B16" s="13"/>
      <c r="F16" s="14" t="str">
        <f>IF(Tablo1348222324[[#This Row],[SATIŞ]]=0,"Açık",(E16-D16)*C16-3)</f>
        <v>Açık</v>
      </c>
      <c r="G16" s="15">
        <f>IF(Tablo1348222324[[#This Row],[ALIŞ]]&gt;0,Tablo1348222324[[#This Row],[ADET]]*Tablo1348222324[[#This Row],[ALIŞ]]+1.5,0)</f>
        <v>0</v>
      </c>
      <c r="H16" s="15">
        <f>IF(Tablo1348222324[[#This Row],[SATIŞ]]&gt;0,(Tablo1348222324[[#This Row],[ADET]]*Tablo1348222324[[#This Row],[SATIŞ]]-1.5),0)</f>
        <v>0</v>
      </c>
    </row>
    <row r="17" spans="2:8" ht="21" customHeight="1" x14ac:dyDescent="0.3">
      <c r="B17" s="13"/>
      <c r="F17" s="14" t="str">
        <f>IF(Tablo1348222324[[#This Row],[SATIŞ]]=0,"Açık",(E17-D17)*C17-3)</f>
        <v>Açık</v>
      </c>
      <c r="G17" s="15">
        <f>IF(Tablo1348222324[[#This Row],[ALIŞ]]&gt;0,Tablo1348222324[[#This Row],[ADET]]*Tablo1348222324[[#This Row],[ALIŞ]]+1.5,0)</f>
        <v>0</v>
      </c>
      <c r="H17" s="15">
        <f>IF(Tablo1348222324[[#This Row],[SATIŞ]]&gt;0,(Tablo1348222324[[#This Row],[ADET]]*Tablo1348222324[[#This Row],[SATIŞ]]-1.5),0)</f>
        <v>0</v>
      </c>
    </row>
    <row r="18" spans="2:8" ht="21" customHeight="1" x14ac:dyDescent="0.3">
      <c r="B18" s="13"/>
      <c r="F18" s="14" t="str">
        <f>IF(Tablo1348222324[[#This Row],[SATIŞ]]=0,"Açık",(E18-D18)*C18-3)</f>
        <v>Açık</v>
      </c>
      <c r="G18" s="15">
        <f>IF(Tablo1348222324[[#This Row],[ALIŞ]]&gt;0,Tablo1348222324[[#This Row],[ADET]]*Tablo1348222324[[#This Row],[ALIŞ]]+1.5,0)</f>
        <v>0</v>
      </c>
      <c r="H18" s="15">
        <f>IF(Tablo1348222324[[#This Row],[SATIŞ]]&gt;0,(Tablo1348222324[[#This Row],[ADET]]*Tablo1348222324[[#This Row],[SATIŞ]]-1.5),0)</f>
        <v>0</v>
      </c>
    </row>
    <row r="19" spans="2:8" ht="21" customHeight="1" x14ac:dyDescent="0.3">
      <c r="B19" s="13"/>
      <c r="F19" s="14" t="str">
        <f>IF(Tablo1348222324[[#This Row],[SATIŞ]]=0,"Açık",(E19-D19)*C19-3)</f>
        <v>Açık</v>
      </c>
      <c r="G19" s="15">
        <f>IF(Tablo1348222324[[#This Row],[ALIŞ]]&gt;0,Tablo1348222324[[#This Row],[ADET]]*Tablo1348222324[[#This Row],[ALIŞ]]+1.5,0)</f>
        <v>0</v>
      </c>
      <c r="H19" s="15">
        <f>IF(Tablo1348222324[[#This Row],[SATIŞ]]&gt;0,(Tablo1348222324[[#This Row],[ADET]]*Tablo1348222324[[#This Row],[SATIŞ]]-1.5),0)</f>
        <v>0</v>
      </c>
    </row>
    <row r="20" spans="2:8" ht="21" customHeight="1" x14ac:dyDescent="0.3">
      <c r="B20" s="13"/>
      <c r="F20" s="14" t="str">
        <f>IF(Tablo1348222324[[#This Row],[SATIŞ]]=0,"Açık",(E20-D20)*C20-3)</f>
        <v>Açık</v>
      </c>
      <c r="G20" s="15">
        <f>IF(Tablo1348222324[[#This Row],[ALIŞ]]&gt;0,Tablo1348222324[[#This Row],[ADET]]*Tablo1348222324[[#This Row],[ALIŞ]]+1.5,0)</f>
        <v>0</v>
      </c>
      <c r="H20" s="15">
        <f>IF(Tablo1348222324[[#This Row],[SATIŞ]]&gt;0,(Tablo1348222324[[#This Row],[ADET]]*Tablo1348222324[[#This Row],[SATIŞ]]-1.5),0)</f>
        <v>0</v>
      </c>
    </row>
    <row r="21" spans="2:8" ht="21" customHeight="1" x14ac:dyDescent="0.3">
      <c r="B21" s="13"/>
      <c r="F21" s="14" t="str">
        <f>IF(Tablo1348222324[[#This Row],[SATIŞ]]=0,"Açık",(E21-D21)*C21-3)</f>
        <v>Açık</v>
      </c>
      <c r="G21" s="15">
        <f>IF(Tablo1348222324[[#This Row],[ALIŞ]]&gt;0,Tablo1348222324[[#This Row],[ADET]]*Tablo1348222324[[#This Row],[ALIŞ]]+1.5,0)</f>
        <v>0</v>
      </c>
      <c r="H21" s="15">
        <f>IF(Tablo1348222324[[#This Row],[SATIŞ]]&gt;0,(Tablo1348222324[[#This Row],[ADET]]*Tablo1348222324[[#This Row],[SATIŞ]]-1.5),0)</f>
        <v>0</v>
      </c>
    </row>
    <row r="22" spans="2:8" ht="21" customHeight="1" x14ac:dyDescent="0.3">
      <c r="B22" s="13"/>
      <c r="F22" s="14" t="str">
        <f>IF(Tablo1348222324[[#This Row],[SATIŞ]]=0,"Açık",(E22-D22)*C22-3)</f>
        <v>Açık</v>
      </c>
      <c r="G22" s="15">
        <f>IF(Tablo1348222324[[#This Row],[ALIŞ]]&gt;0,Tablo1348222324[[#This Row],[ADET]]*Tablo1348222324[[#This Row],[ALIŞ]]+1.5,0)</f>
        <v>0</v>
      </c>
      <c r="H22" s="15">
        <f>IF(Tablo1348222324[[#This Row],[SATIŞ]]&gt;0,(Tablo1348222324[[#This Row],[ADET]]*Tablo1348222324[[#This Row],[SATIŞ]]-1.5),0)</f>
        <v>0</v>
      </c>
    </row>
    <row r="23" spans="2:8" ht="21" customHeight="1" x14ac:dyDescent="0.3">
      <c r="B23" s="13"/>
      <c r="F23" s="14" t="str">
        <f>IF(Tablo1348222324[[#This Row],[SATIŞ]]=0,"Açık",(E23-D23)*C23-3)</f>
        <v>Açık</v>
      </c>
      <c r="G23" s="15">
        <f>IF(Tablo1348222324[[#This Row],[ALIŞ]]&gt;0,Tablo1348222324[[#This Row],[ADET]]*Tablo1348222324[[#This Row],[ALIŞ]]+1.5,0)</f>
        <v>0</v>
      </c>
      <c r="H23" s="15">
        <f>IF(Tablo1348222324[[#This Row],[SATIŞ]]&gt;0,(Tablo1348222324[[#This Row],[ADET]]*Tablo1348222324[[#This Row],[SATIŞ]]-1.5),0)</f>
        <v>0</v>
      </c>
    </row>
    <row r="24" spans="2:8" ht="21" customHeight="1" x14ac:dyDescent="0.3">
      <c r="B24" s="13"/>
      <c r="F24" s="14" t="str">
        <f>IF(Tablo1348222324[[#This Row],[SATIŞ]]=0,"Açık",(E24-D24)*C24-3)</f>
        <v>Açık</v>
      </c>
      <c r="G24" s="15">
        <f>IF(Tablo1348222324[[#This Row],[ALIŞ]]&gt;0,Tablo1348222324[[#This Row],[ADET]]*Tablo1348222324[[#This Row],[ALIŞ]]+1.5,0)</f>
        <v>0</v>
      </c>
      <c r="H24" s="15">
        <f>IF(Tablo1348222324[[#This Row],[SATIŞ]]&gt;0,(Tablo1348222324[[#This Row],[ADET]]*Tablo1348222324[[#This Row],[SATIŞ]]-1.5),0)</f>
        <v>0</v>
      </c>
    </row>
    <row r="25" spans="2:8" ht="21" customHeight="1" x14ac:dyDescent="0.3">
      <c r="B25" s="13"/>
      <c r="F25" s="14" t="str">
        <f>IF(Tablo1348222324[[#This Row],[SATIŞ]]=0,"Açık",(E25-D25)*C25-3)</f>
        <v>Açık</v>
      </c>
      <c r="G25" s="15">
        <f>IF(Tablo1348222324[[#This Row],[ALIŞ]]&gt;0,Tablo1348222324[[#This Row],[ADET]]*Tablo1348222324[[#This Row],[ALIŞ]]+1.5,0)</f>
        <v>0</v>
      </c>
      <c r="H25" s="15">
        <f>IF(Tablo1348222324[[#This Row],[SATIŞ]]&gt;0,(Tablo1348222324[[#This Row],[ADET]]*Tablo1348222324[[#This Row],[SATIŞ]]-1.5),0)</f>
        <v>0</v>
      </c>
    </row>
    <row r="26" spans="2:8" ht="21" customHeight="1" x14ac:dyDescent="0.3">
      <c r="B26" s="13"/>
      <c r="F26" s="14" t="str">
        <f>IF(Tablo1348222324[[#This Row],[SATIŞ]]=0,"Açık",(E26-D26)*C26-3)</f>
        <v>Açık</v>
      </c>
      <c r="G26" s="15">
        <f>IF(Tablo1348222324[[#This Row],[ALIŞ]]&gt;0,Tablo1348222324[[#This Row],[ADET]]*Tablo1348222324[[#This Row],[ALIŞ]]+1.5,0)</f>
        <v>0</v>
      </c>
      <c r="H26" s="15">
        <f>IF(Tablo1348222324[[#This Row],[SATIŞ]]&gt;0,(Tablo1348222324[[#This Row],[ADET]]*Tablo1348222324[[#This Row],[SATIŞ]]-1.5),0)</f>
        <v>0</v>
      </c>
    </row>
    <row r="27" spans="2:8" ht="21" customHeight="1" x14ac:dyDescent="0.3">
      <c r="B27" s="13"/>
      <c r="F27" s="14" t="str">
        <f>IF(Tablo1348222324[[#This Row],[SATIŞ]]=0,"Açık",(E27-D27)*C27-3)</f>
        <v>Açık</v>
      </c>
      <c r="G27" s="15">
        <f>IF(Tablo1348222324[[#This Row],[ALIŞ]]&gt;0,Tablo1348222324[[#This Row],[ADET]]*Tablo1348222324[[#This Row],[ALIŞ]]+1.5,0)</f>
        <v>0</v>
      </c>
      <c r="H27" s="15">
        <f>IF(Tablo1348222324[[#This Row],[SATIŞ]]&gt;0,(Tablo1348222324[[#This Row],[ADET]]*Tablo1348222324[[#This Row],[SATIŞ]]-1.5),0)</f>
        <v>0</v>
      </c>
    </row>
  </sheetData>
  <conditionalFormatting sqref="B4:E4 B5:F27">
    <cfRule type="expression" dxfId="185" priority="4">
      <formula>$F4&lt;0</formula>
    </cfRule>
    <cfRule type="expression" dxfId="184" priority="5">
      <formula>$F4="Açık"</formula>
    </cfRule>
    <cfRule type="expression" dxfId="183" priority="6">
      <formula>$F4&gt;0</formula>
    </cfRule>
  </conditionalFormatting>
  <conditionalFormatting sqref="F4">
    <cfRule type="expression" dxfId="182" priority="1">
      <formula>$F4&lt;0</formula>
    </cfRule>
    <cfRule type="expression" dxfId="181" priority="2">
      <formula>$F4="Açık"</formula>
    </cfRule>
    <cfRule type="expression" dxfId="180" priority="3">
      <formula>$F4&gt;0</formula>
    </cfRule>
  </conditionalFormatting>
  <hyperlinks>
    <hyperlink ref="B1" location="İcmal!A1" display="ANA SAYFA" xr:uid="{A6123E38-E8D3-4E92-9276-8769F02990F1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A7E8-8F29-4344-B7C9-EE369B8F15AC}">
  <dimension ref="B1:R29"/>
  <sheetViews>
    <sheetView topLeftCell="A9" workbookViewId="0">
      <selection activeCell="E18" sqref="E18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SUMIF(Tablo13482223[KAR],"Açık",Tablo13482223[ADET])</f>
        <v>40</v>
      </c>
      <c r="D1" s="16">
        <f>+İcmal!E10</f>
        <v>44.12</v>
      </c>
      <c r="E1" s="16">
        <f>C1*D1</f>
        <v>1764.8</v>
      </c>
      <c r="F1" s="3">
        <f>IFERROR(((SUM(Tablo13482223[ALIŞ TUTAR])-SUM(Tablo13482223[SATIŞ TUTAR]))/C1),"")</f>
        <v>36.037750000000003</v>
      </c>
      <c r="G1" s="3">
        <f>IF(M3=0,L3,C1*(D1-F1))</f>
        <v>323.28999999999979</v>
      </c>
      <c r="J1" s="4">
        <v>0.02</v>
      </c>
      <c r="L1" s="5">
        <f>M1*(1-$J$1)</f>
        <v>35.316994999999999</v>
      </c>
      <c r="M1" s="6">
        <f>F1</f>
        <v>36.037750000000003</v>
      </c>
      <c r="N1" s="5">
        <f>M1*(1+$J$1)</f>
        <v>36.758505000000007</v>
      </c>
      <c r="P1" s="5">
        <f>Q1*(1-$J$1)</f>
        <v>43.237599999999993</v>
      </c>
      <c r="Q1" s="6">
        <f>+D1</f>
        <v>44.12</v>
      </c>
      <c r="R1" s="5">
        <f>Q1*(1+$J$1)</f>
        <v>45.002400000000002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0" t="s">
        <v>5</v>
      </c>
      <c r="G3" s="9" t="s">
        <v>6</v>
      </c>
      <c r="H3" s="9" t="s">
        <v>7</v>
      </c>
      <c r="L3" s="6">
        <f>SUM(Tablo13482223[KAR])</f>
        <v>421.49000000000007</v>
      </c>
      <c r="M3" s="12">
        <f>C1</f>
        <v>40</v>
      </c>
    </row>
    <row r="4" spans="2:18" ht="21" customHeight="1" x14ac:dyDescent="0.3">
      <c r="B4" s="13">
        <v>45076</v>
      </c>
      <c r="C4" s="8">
        <v>1</v>
      </c>
      <c r="D4" s="16">
        <v>26.02</v>
      </c>
      <c r="E4" s="16">
        <v>52</v>
      </c>
      <c r="F4" s="14">
        <f>IF(Tablo13482223[[#This Row],[SATIŞ]]=0,"Açık",(E4-D4)*C4-3)</f>
        <v>22.98</v>
      </c>
      <c r="G4" s="15">
        <f>IF(Tablo13482223[[#This Row],[ALIŞ]]&gt;0,Tablo13482223[[#This Row],[ADET]]*Tablo13482223[[#This Row],[ALIŞ]]+1.5,0)</f>
        <v>27.52</v>
      </c>
      <c r="H4" s="15">
        <f>IF(Tablo13482223[[#This Row],[SATIŞ]]&gt;0,(Tablo13482223[[#This Row],[ADET]]*Tablo13482223[[#This Row],[SATIŞ]]-1.5),0)</f>
        <v>50.5</v>
      </c>
      <c r="L4" s="5"/>
      <c r="M4" s="5"/>
      <c r="N4" s="5"/>
    </row>
    <row r="5" spans="2:18" ht="21" customHeight="1" x14ac:dyDescent="0.3">
      <c r="B5" s="13">
        <v>45076</v>
      </c>
      <c r="C5" s="8">
        <v>7</v>
      </c>
      <c r="D5" s="16">
        <v>26.02</v>
      </c>
      <c r="E5" s="16">
        <v>43.3</v>
      </c>
      <c r="F5" s="14">
        <f>IF(Tablo13482223[[#This Row],[SATIŞ]]=0,"Açık",(E5-D5)*C5-3)</f>
        <v>117.95999999999998</v>
      </c>
      <c r="G5" s="15">
        <f>IF(Tablo13482223[[#This Row],[ALIŞ]]&gt;0,Tablo13482223[[#This Row],[ADET]]*Tablo13482223[[#This Row],[ALIŞ]]+1.5,0)</f>
        <v>183.64</v>
      </c>
      <c r="H5" s="15">
        <f>IF(Tablo13482223[[#This Row],[SATIŞ]]&gt;0,(Tablo13482223[[#This Row],[ADET]]*Tablo13482223[[#This Row],[SATIŞ]]-1.5),0)</f>
        <v>301.59999999999997</v>
      </c>
      <c r="L5" s="5"/>
      <c r="M5" s="5"/>
      <c r="N5" s="5"/>
    </row>
    <row r="6" spans="2:18" ht="21" customHeight="1" x14ac:dyDescent="0.3">
      <c r="B6" s="13">
        <v>45089</v>
      </c>
      <c r="C6" s="8">
        <v>9</v>
      </c>
      <c r="D6" s="16">
        <v>23.79</v>
      </c>
      <c r="E6" s="16">
        <v>24.5</v>
      </c>
      <c r="F6" s="14">
        <f>IF(Tablo13482223[[#This Row],[SATIŞ]]=0,"Açık",(E6-D6)*C6-3)</f>
        <v>3.3900000000000077</v>
      </c>
      <c r="G6" s="15">
        <f>IF(Tablo13482223[[#This Row],[ALIŞ]]&gt;0,Tablo13482223[[#This Row],[ADET]]*Tablo13482223[[#This Row],[ALIŞ]]+1.5,0)</f>
        <v>215.60999999999999</v>
      </c>
      <c r="H6" s="15">
        <f>IF(Tablo13482223[[#This Row],[SATIŞ]]&gt;0,(Tablo13482223[[#This Row],[ADET]]*Tablo13482223[[#This Row],[SATIŞ]]-1.5),0)</f>
        <v>219</v>
      </c>
    </row>
    <row r="7" spans="2:18" ht="21" customHeight="1" x14ac:dyDescent="0.3">
      <c r="B7" s="13">
        <v>45092</v>
      </c>
      <c r="C7" s="8">
        <v>9</v>
      </c>
      <c r="D7" s="16">
        <v>23.9</v>
      </c>
      <c r="E7" s="16">
        <v>25.05</v>
      </c>
      <c r="F7" s="14">
        <f>IF(Tablo13482223[[#This Row],[SATIŞ]]=0,"Açık",(E7-D7)*C7-3)</f>
        <v>7.3500000000000192</v>
      </c>
      <c r="G7" s="15">
        <f>IF(Tablo13482223[[#This Row],[ALIŞ]]&gt;0,Tablo13482223[[#This Row],[ADET]]*Tablo13482223[[#This Row],[ALIŞ]]+1.5,0)</f>
        <v>216.6</v>
      </c>
      <c r="H7" s="15">
        <f>IF(Tablo13482223[[#This Row],[SATIŞ]]&gt;0,(Tablo13482223[[#This Row],[ADET]]*Tablo13482223[[#This Row],[SATIŞ]]-1.5),0)</f>
        <v>223.95000000000002</v>
      </c>
    </row>
    <row r="8" spans="2:18" ht="21" customHeight="1" x14ac:dyDescent="0.3">
      <c r="B8" s="13">
        <v>45121</v>
      </c>
      <c r="C8" s="8">
        <v>7</v>
      </c>
      <c r="D8" s="16">
        <v>42</v>
      </c>
      <c r="E8" s="16">
        <v>58</v>
      </c>
      <c r="F8" s="14">
        <f>IF(Tablo13482223[[#This Row],[SATIŞ]]=0,"Açık",(E8-D8)*C8-3)</f>
        <v>109</v>
      </c>
      <c r="G8" s="15">
        <f>IF(Tablo13482223[[#This Row],[ALIŞ]]&gt;0,Tablo13482223[[#This Row],[ADET]]*Tablo13482223[[#This Row],[ALIŞ]]+1.5,0)</f>
        <v>295.5</v>
      </c>
      <c r="H8" s="15">
        <f>IF(Tablo13482223[[#This Row],[SATIŞ]]&gt;0,(Tablo13482223[[#This Row],[ADET]]*Tablo13482223[[#This Row],[SATIŞ]]-1.5),0)</f>
        <v>404.5</v>
      </c>
    </row>
    <row r="9" spans="2:18" ht="21" customHeight="1" x14ac:dyDescent="0.3">
      <c r="B9" s="13">
        <v>45139</v>
      </c>
      <c r="C9" s="8">
        <v>3</v>
      </c>
      <c r="D9" s="16">
        <v>36.630000000000003</v>
      </c>
      <c r="E9" s="16">
        <v>48</v>
      </c>
      <c r="F9" s="14">
        <f>IF(Tablo13482223[[#This Row],[SATIŞ]]=0,"Açık",(E9-D9)*C9-3)</f>
        <v>31.109999999999992</v>
      </c>
      <c r="G9" s="15">
        <f>IF(Tablo13482223[[#This Row],[ALIŞ]]&gt;0,Tablo13482223[[#This Row],[ADET]]*Tablo13482223[[#This Row],[ALIŞ]]+1.5,0)</f>
        <v>111.39000000000001</v>
      </c>
      <c r="H9" s="15">
        <f>IF(Tablo13482223[[#This Row],[SATIŞ]]&gt;0,(Tablo13482223[[#This Row],[ADET]]*Tablo13482223[[#This Row],[SATIŞ]]-1.5),0)</f>
        <v>142.5</v>
      </c>
    </row>
    <row r="10" spans="2:18" ht="21" customHeight="1" x14ac:dyDescent="0.3">
      <c r="B10" s="13">
        <v>45349</v>
      </c>
      <c r="C10" s="8">
        <v>10</v>
      </c>
      <c r="D10" s="16">
        <v>56</v>
      </c>
      <c r="E10" s="16">
        <v>48</v>
      </c>
      <c r="F10" s="14">
        <f>IF(Tablo13482223[[#This Row],[SATIŞ]]=0,"Açık",(E10-D10)*C10-3)</f>
        <v>-83</v>
      </c>
      <c r="G10" s="15">
        <f>IF(Tablo13482223[[#This Row],[ALIŞ]]&gt;0,Tablo13482223[[#This Row],[ADET]]*Tablo13482223[[#This Row],[ALIŞ]]+1.5,0)</f>
        <v>561.5</v>
      </c>
      <c r="H10" s="15">
        <f>IF(Tablo13482223[[#This Row],[SATIŞ]]&gt;0,(Tablo13482223[[#This Row],[ADET]]*Tablo13482223[[#This Row],[SATIŞ]]-1.5),0)</f>
        <v>478.5</v>
      </c>
    </row>
    <row r="11" spans="2:18" ht="21" customHeight="1" x14ac:dyDescent="0.3">
      <c r="B11" s="13">
        <v>45350</v>
      </c>
      <c r="C11" s="8">
        <v>7</v>
      </c>
      <c r="D11" s="16">
        <v>50</v>
      </c>
      <c r="E11" s="16">
        <v>48</v>
      </c>
      <c r="F11" s="14">
        <f>IF(Tablo13482223[[#This Row],[SATIŞ]]=0,"Açık",(E11-D11)*C11-3)</f>
        <v>-17</v>
      </c>
      <c r="G11" s="15">
        <f>IF(Tablo13482223[[#This Row],[ALIŞ]]&gt;0,Tablo13482223[[#This Row],[ADET]]*Tablo13482223[[#This Row],[ALIŞ]]+1.5,0)</f>
        <v>351.5</v>
      </c>
      <c r="H11" s="15">
        <f>IF(Tablo13482223[[#This Row],[SATIŞ]]&gt;0,(Tablo13482223[[#This Row],[ADET]]*Tablo13482223[[#This Row],[SATIŞ]]-1.5),0)</f>
        <v>334.5</v>
      </c>
    </row>
    <row r="12" spans="2:18" ht="21" customHeight="1" x14ac:dyDescent="0.3">
      <c r="B12" s="13">
        <v>45351</v>
      </c>
      <c r="C12" s="8">
        <v>10</v>
      </c>
      <c r="D12" s="16">
        <v>47</v>
      </c>
      <c r="E12" s="16">
        <v>52</v>
      </c>
      <c r="F12" s="14">
        <f>IF(Tablo13482223[[#This Row],[SATIŞ]]=0,"Açık",(E12-D12)*C12-3)</f>
        <v>47</v>
      </c>
      <c r="G12" s="15">
        <f>IF(Tablo13482223[[#This Row],[ALIŞ]]&gt;0,Tablo13482223[[#This Row],[ADET]]*Tablo13482223[[#This Row],[ALIŞ]]+1.5,0)</f>
        <v>471.5</v>
      </c>
      <c r="H12" s="15">
        <f>IF(Tablo13482223[[#This Row],[SATIŞ]]&gt;0,(Tablo13482223[[#This Row],[ADET]]*Tablo13482223[[#This Row],[SATIŞ]]-1.5),0)</f>
        <v>518.5</v>
      </c>
      <c r="J12">
        <f>+Tablo13482223[[#This Row],[ALIŞ]]*1.02</f>
        <v>47.94</v>
      </c>
    </row>
    <row r="13" spans="2:18" ht="21" customHeight="1" x14ac:dyDescent="0.3">
      <c r="B13" s="13">
        <v>45351</v>
      </c>
      <c r="C13" s="8">
        <v>10</v>
      </c>
      <c r="D13" s="16">
        <v>47</v>
      </c>
      <c r="E13" s="16">
        <v>50</v>
      </c>
      <c r="F13" s="14">
        <f>IF(Tablo13482223[[#This Row],[SATIŞ]]=0,"Açık",(E13-D13)*C13-3)</f>
        <v>27</v>
      </c>
      <c r="G13" s="15">
        <f>IF(Tablo13482223[[#This Row],[ALIŞ]]&gt;0,Tablo13482223[[#This Row],[ADET]]*Tablo13482223[[#This Row],[ALIŞ]]+1.5,0)</f>
        <v>471.5</v>
      </c>
      <c r="H13" s="15">
        <f>IF(Tablo13482223[[#This Row],[SATIŞ]]&gt;0,(Tablo13482223[[#This Row],[ADET]]*Tablo13482223[[#This Row],[SATIŞ]]-1.5),0)</f>
        <v>498.5</v>
      </c>
    </row>
    <row r="14" spans="2:18" ht="21" customHeight="1" x14ac:dyDescent="0.3">
      <c r="B14" s="13">
        <v>45355</v>
      </c>
      <c r="C14" s="8">
        <v>10</v>
      </c>
      <c r="D14" s="16">
        <v>50</v>
      </c>
      <c r="E14" s="16">
        <v>50</v>
      </c>
      <c r="F14" s="14">
        <f>IF(Tablo13482223[[#This Row],[SATIŞ]]=0,"Açık",(E14-D14)*C14-3)</f>
        <v>-3</v>
      </c>
      <c r="G14" s="15">
        <f>IF(Tablo13482223[[#This Row],[ALIŞ]]&gt;0,Tablo13482223[[#This Row],[ADET]]*Tablo13482223[[#This Row],[ALIŞ]]+1.5,0)</f>
        <v>501.5</v>
      </c>
      <c r="H14" s="15">
        <f>IF(Tablo13482223[[#This Row],[SATIŞ]]&gt;0,(Tablo13482223[[#This Row],[ADET]]*Tablo13482223[[#This Row],[SATIŞ]]-1.5),0)</f>
        <v>498.5</v>
      </c>
    </row>
    <row r="15" spans="2:18" ht="21" customHeight="1" x14ac:dyDescent="0.3">
      <c r="B15" s="13">
        <v>45355</v>
      </c>
      <c r="C15" s="8">
        <v>5</v>
      </c>
      <c r="D15" s="16">
        <v>50</v>
      </c>
      <c r="E15" s="16">
        <v>49.42</v>
      </c>
      <c r="F15" s="14">
        <f>IF(Tablo13482223[[#This Row],[SATIŞ]]=0,"Açık",(E15-D15)*C15-3)</f>
        <v>-5.8999999999999915</v>
      </c>
      <c r="G15" s="15">
        <f>IF(Tablo13482223[[#This Row],[ALIŞ]]&gt;0,Tablo13482223[[#This Row],[ADET]]*Tablo13482223[[#This Row],[ALIŞ]]+1.5,0)</f>
        <v>251.5</v>
      </c>
      <c r="H15" s="15">
        <f>IF(Tablo13482223[[#This Row],[SATIŞ]]&gt;0,(Tablo13482223[[#This Row],[ADET]]*Tablo13482223[[#This Row],[SATIŞ]]-1.5),0)</f>
        <v>245.60000000000002</v>
      </c>
    </row>
    <row r="16" spans="2:18" ht="21" customHeight="1" x14ac:dyDescent="0.3">
      <c r="B16" s="13">
        <v>45355</v>
      </c>
      <c r="C16" s="8">
        <v>15</v>
      </c>
      <c r="D16" s="16">
        <v>47</v>
      </c>
      <c r="E16" s="16">
        <v>49.42</v>
      </c>
      <c r="F16" s="14">
        <f>IF(Tablo13482223[[#This Row],[SATIŞ]]=0,"Açık",(E16-D16)*C16-3)</f>
        <v>33.300000000000026</v>
      </c>
      <c r="G16" s="15">
        <f>IF(Tablo13482223[[#This Row],[ALIŞ]]&gt;0,Tablo13482223[[#This Row],[ADET]]*Tablo13482223[[#This Row],[ALIŞ]]+1.5,0)</f>
        <v>706.5</v>
      </c>
      <c r="H16" s="15">
        <f>IF(Tablo13482223[[#This Row],[SATIŞ]]&gt;0,(Tablo13482223[[#This Row],[ADET]]*Tablo13482223[[#This Row],[SATIŞ]]-1.5),0)</f>
        <v>739.80000000000007</v>
      </c>
    </row>
    <row r="17" spans="2:8" ht="21" customHeight="1" x14ac:dyDescent="0.3">
      <c r="B17" s="13">
        <v>45355</v>
      </c>
      <c r="C17" s="8">
        <v>15</v>
      </c>
      <c r="D17" s="16">
        <v>47</v>
      </c>
      <c r="E17" s="16">
        <v>49.42</v>
      </c>
      <c r="F17" s="14">
        <f>IF(Tablo13482223[[#This Row],[SATIŞ]]=0,"Açık",(E17-D17)*C17-3)</f>
        <v>33.300000000000026</v>
      </c>
      <c r="G17" s="15">
        <f>IF(Tablo13482223[[#This Row],[ALIŞ]]&gt;0,Tablo13482223[[#This Row],[ADET]]*Tablo13482223[[#This Row],[ALIŞ]]+1.5,0)</f>
        <v>706.5</v>
      </c>
      <c r="H17" s="15">
        <f>IF(Tablo13482223[[#This Row],[SATIŞ]]&gt;0,(Tablo13482223[[#This Row],[ADET]]*Tablo13482223[[#This Row],[SATIŞ]]-1.5),0)</f>
        <v>739.80000000000007</v>
      </c>
    </row>
    <row r="18" spans="2:8" ht="21" customHeight="1" x14ac:dyDescent="0.3">
      <c r="B18" s="13">
        <v>45356</v>
      </c>
      <c r="C18" s="8">
        <v>15</v>
      </c>
      <c r="D18" s="16">
        <v>45</v>
      </c>
      <c r="E18" s="16">
        <v>47</v>
      </c>
      <c r="F18" s="14">
        <f>IF(Tablo13482223[[#This Row],[SATIŞ]]=0,"Açık",(E18-D18)*C18-3)</f>
        <v>27</v>
      </c>
      <c r="G18" s="15">
        <f>IF(Tablo13482223[[#This Row],[ALIŞ]]&gt;0,Tablo13482223[[#This Row],[ADET]]*Tablo13482223[[#This Row],[ALIŞ]]+1.5,0)</f>
        <v>676.5</v>
      </c>
      <c r="H18" s="15">
        <f>IF(Tablo13482223[[#This Row],[SATIŞ]]&gt;0,(Tablo13482223[[#This Row],[ADET]]*Tablo13482223[[#This Row],[SATIŞ]]-1.5),0)</f>
        <v>703.5</v>
      </c>
    </row>
    <row r="19" spans="2:8" ht="21" customHeight="1" x14ac:dyDescent="0.3">
      <c r="B19" s="13">
        <v>45356</v>
      </c>
      <c r="C19" s="8">
        <v>10</v>
      </c>
      <c r="D19" s="16">
        <v>44</v>
      </c>
      <c r="E19" s="16">
        <v>45</v>
      </c>
      <c r="F19" s="14">
        <f>IF(Tablo13482223[[#This Row],[SATIŞ]]=0,"Açık",(E19-D19)*C19-3)</f>
        <v>7</v>
      </c>
      <c r="G19" s="15">
        <f>IF(Tablo13482223[[#This Row],[ALIŞ]]&gt;0,Tablo13482223[[#This Row],[ADET]]*Tablo13482223[[#This Row],[ALIŞ]]+1.5,0)</f>
        <v>441.5</v>
      </c>
      <c r="H19" s="15">
        <f>IF(Tablo13482223[[#This Row],[SATIŞ]]&gt;0,(Tablo13482223[[#This Row],[ADET]]*Tablo13482223[[#This Row],[SATIŞ]]-1.5),0)</f>
        <v>448.5</v>
      </c>
    </row>
    <row r="20" spans="2:8" ht="21" customHeight="1" x14ac:dyDescent="0.3">
      <c r="B20" s="13">
        <v>45356</v>
      </c>
      <c r="C20" s="8">
        <v>10</v>
      </c>
      <c r="D20" s="16">
        <v>44</v>
      </c>
      <c r="E20" s="16">
        <v>47</v>
      </c>
      <c r="F20" s="14">
        <f>IF(Tablo13482223[[#This Row],[SATIŞ]]=0,"Açık",(E20-D20)*C20-3)</f>
        <v>27</v>
      </c>
      <c r="G20" s="15">
        <f>IF(Tablo13482223[[#This Row],[ALIŞ]]&gt;0,Tablo13482223[[#This Row],[ADET]]*Tablo13482223[[#This Row],[ALIŞ]]+1.5,0)</f>
        <v>441.5</v>
      </c>
      <c r="H20" s="15">
        <f>IF(Tablo13482223[[#This Row],[SATIŞ]]&gt;0,(Tablo13482223[[#This Row],[ADET]]*Tablo13482223[[#This Row],[SATIŞ]]-1.5),0)</f>
        <v>468.5</v>
      </c>
    </row>
    <row r="21" spans="2:8" ht="21" customHeight="1" x14ac:dyDescent="0.3">
      <c r="B21" s="13">
        <v>45356</v>
      </c>
      <c r="C21" s="8">
        <v>20</v>
      </c>
      <c r="D21" s="16">
        <v>45</v>
      </c>
      <c r="E21" s="16">
        <v>47</v>
      </c>
      <c r="F21" s="14">
        <f>IF(Tablo13482223[[#This Row],[SATIŞ]]=0,"Açık",(E21-D21)*C21-3)</f>
        <v>37</v>
      </c>
      <c r="G21" s="15">
        <f>IF(Tablo13482223[[#This Row],[ALIŞ]]&gt;0,Tablo13482223[[#This Row],[ADET]]*Tablo13482223[[#This Row],[ALIŞ]]+1.5,0)</f>
        <v>901.5</v>
      </c>
      <c r="H21" s="15">
        <f>IF(Tablo13482223[[#This Row],[SATIŞ]]&gt;0,(Tablo13482223[[#This Row],[ADET]]*Tablo13482223[[#This Row],[SATIŞ]]-1.5),0)</f>
        <v>938.5</v>
      </c>
    </row>
    <row r="22" spans="2:8" ht="21" customHeight="1" x14ac:dyDescent="0.3">
      <c r="B22" s="13">
        <v>45358</v>
      </c>
      <c r="C22" s="8">
        <v>20</v>
      </c>
      <c r="D22" s="16">
        <v>45</v>
      </c>
      <c r="F22" s="14" t="str">
        <f>IF(Tablo13482223[[#This Row],[SATIŞ]]=0,"Açık",(E22-D22)*C22-3)</f>
        <v>Açık</v>
      </c>
      <c r="G22" s="15">
        <f>IF(Tablo13482223[[#This Row],[ALIŞ]]&gt;0,Tablo13482223[[#This Row],[ADET]]*Tablo13482223[[#This Row],[ALIŞ]]+1.5,0)</f>
        <v>901.5</v>
      </c>
      <c r="H22" s="15">
        <f>IF(Tablo13482223[[#This Row],[SATIŞ]]&gt;0,(Tablo13482223[[#This Row],[ADET]]*Tablo13482223[[#This Row],[SATIŞ]]-1.5),0)</f>
        <v>0</v>
      </c>
    </row>
    <row r="23" spans="2:8" ht="21" customHeight="1" x14ac:dyDescent="0.3">
      <c r="B23" s="13">
        <v>45359</v>
      </c>
      <c r="C23" s="8">
        <v>20</v>
      </c>
      <c r="D23" s="16">
        <v>48</v>
      </c>
      <c r="F23" s="14" t="str">
        <f>IF(Tablo13482223[[#This Row],[SATIŞ]]=0,"Açık",(E23-D23)*C23-3)</f>
        <v>Açık</v>
      </c>
      <c r="G23" s="15">
        <f>IF(Tablo13482223[[#This Row],[ALIŞ]]&gt;0,Tablo13482223[[#This Row],[ADET]]*Tablo13482223[[#This Row],[ALIŞ]]+1.5,0)</f>
        <v>961.5</v>
      </c>
      <c r="H23" s="15">
        <f>IF(Tablo13482223[[#This Row],[SATIŞ]]&gt;0,(Tablo13482223[[#This Row],[ADET]]*Tablo13482223[[#This Row],[SATIŞ]]-1.5),0)</f>
        <v>0</v>
      </c>
    </row>
    <row r="24" spans="2:8" ht="21" customHeight="1" x14ac:dyDescent="0.3">
      <c r="B24" s="13"/>
      <c r="F24" s="14" t="str">
        <f>IF(Tablo13482223[[#This Row],[SATIŞ]]=0,"Açık",(E24-D24)*C24-3)</f>
        <v>Açık</v>
      </c>
      <c r="G24" s="15">
        <f>IF(Tablo13482223[[#This Row],[ALIŞ]]&gt;0,Tablo13482223[[#This Row],[ADET]]*Tablo13482223[[#This Row],[ALIŞ]]+1.5,0)</f>
        <v>0</v>
      </c>
      <c r="H24" s="15">
        <f>IF(Tablo13482223[[#This Row],[SATIŞ]]&gt;0,(Tablo13482223[[#This Row],[ADET]]*Tablo13482223[[#This Row],[SATIŞ]]-1.5),0)</f>
        <v>0</v>
      </c>
    </row>
    <row r="25" spans="2:8" ht="21" customHeight="1" x14ac:dyDescent="0.3">
      <c r="B25" s="13"/>
      <c r="F25" s="14" t="str">
        <f>IF(Tablo13482223[[#This Row],[SATIŞ]]=0,"Açık",(E25-D25)*C25-3)</f>
        <v>Açık</v>
      </c>
      <c r="G25" s="15">
        <f>IF(Tablo13482223[[#This Row],[ALIŞ]]&gt;0,Tablo13482223[[#This Row],[ADET]]*Tablo13482223[[#This Row],[ALIŞ]]+1.5,0)</f>
        <v>0</v>
      </c>
      <c r="H25" s="15">
        <f>IF(Tablo13482223[[#This Row],[SATIŞ]]&gt;0,(Tablo13482223[[#This Row],[ADET]]*Tablo13482223[[#This Row],[SATIŞ]]-1.5),0)</f>
        <v>0</v>
      </c>
    </row>
    <row r="26" spans="2:8" ht="21" customHeight="1" x14ac:dyDescent="0.3">
      <c r="B26" s="13"/>
      <c r="F26" s="14" t="str">
        <f>IF(Tablo13482223[[#This Row],[SATIŞ]]=0,"Açık",(E26-D26)*C26-3)</f>
        <v>Açık</v>
      </c>
      <c r="G26" s="15">
        <f>IF(Tablo13482223[[#This Row],[ALIŞ]]&gt;0,Tablo13482223[[#This Row],[ADET]]*Tablo13482223[[#This Row],[ALIŞ]]+1.5,0)</f>
        <v>0</v>
      </c>
      <c r="H26" s="15">
        <f>IF(Tablo13482223[[#This Row],[SATIŞ]]&gt;0,(Tablo13482223[[#This Row],[ADET]]*Tablo13482223[[#This Row],[SATIŞ]]-1.5),0)</f>
        <v>0</v>
      </c>
    </row>
    <row r="27" spans="2:8" ht="21" customHeight="1" x14ac:dyDescent="0.3">
      <c r="B27" s="13"/>
      <c r="F27" s="14" t="str">
        <f>IF(Tablo13482223[[#This Row],[SATIŞ]]=0,"Açık",(E27-D27)*C27-3)</f>
        <v>Açık</v>
      </c>
      <c r="G27" s="15">
        <f>IF(Tablo13482223[[#This Row],[ALIŞ]]&gt;0,Tablo13482223[[#This Row],[ADET]]*Tablo13482223[[#This Row],[ALIŞ]]+1.5,0)</f>
        <v>0</v>
      </c>
      <c r="H27" s="15">
        <f>IF(Tablo13482223[[#This Row],[SATIŞ]]&gt;0,(Tablo13482223[[#This Row],[ADET]]*Tablo13482223[[#This Row],[SATIŞ]]-1.5),0)</f>
        <v>0</v>
      </c>
    </row>
    <row r="28" spans="2:8" ht="21" customHeight="1" x14ac:dyDescent="0.3">
      <c r="B28" s="13"/>
      <c r="F28" s="14" t="str">
        <f>IF(Tablo13482223[[#This Row],[SATIŞ]]=0,"Açık",(E28-D28)*C28-3)</f>
        <v>Açık</v>
      </c>
      <c r="G28" s="15">
        <f>IF(Tablo13482223[[#This Row],[ALIŞ]]&gt;0,Tablo13482223[[#This Row],[ADET]]*Tablo13482223[[#This Row],[ALIŞ]]+1.5,0)</f>
        <v>0</v>
      </c>
      <c r="H28" s="15">
        <f>IF(Tablo13482223[[#This Row],[SATIŞ]]&gt;0,(Tablo13482223[[#This Row],[ADET]]*Tablo13482223[[#This Row],[SATIŞ]]-1.5),0)</f>
        <v>0</v>
      </c>
    </row>
    <row r="29" spans="2:8" ht="21" customHeight="1" x14ac:dyDescent="0.3">
      <c r="B29" s="13"/>
      <c r="F29" s="14" t="str">
        <f>IF(Tablo13482223[[#This Row],[SATIŞ]]=0,"Açık",(E29-D29)*C29-3)</f>
        <v>Açık</v>
      </c>
      <c r="G29" s="15">
        <f>IF(Tablo13482223[[#This Row],[ALIŞ]]&gt;0,Tablo13482223[[#This Row],[ADET]]*Tablo13482223[[#This Row],[ALIŞ]]+1.5,0)</f>
        <v>0</v>
      </c>
      <c r="H29" s="15">
        <f>IF(Tablo13482223[[#This Row],[SATIŞ]]&gt;0,(Tablo13482223[[#This Row],[ADET]]*Tablo13482223[[#This Row],[SATIŞ]]-1.5),0)</f>
        <v>0</v>
      </c>
    </row>
  </sheetData>
  <conditionalFormatting sqref="B4:E5 B6:F29">
    <cfRule type="expression" dxfId="179" priority="4">
      <formula>$F4&lt;0</formula>
    </cfRule>
    <cfRule type="expression" dxfId="178" priority="5">
      <formula>$F4="Açık"</formula>
    </cfRule>
    <cfRule type="expression" dxfId="177" priority="6">
      <formula>$F4&gt;0</formula>
    </cfRule>
  </conditionalFormatting>
  <conditionalFormatting sqref="F4:F5">
    <cfRule type="expression" dxfId="176" priority="1">
      <formula>$F4&lt;0</formula>
    </cfRule>
    <cfRule type="expression" dxfId="175" priority="2">
      <formula>$F4="Açık"</formula>
    </cfRule>
    <cfRule type="expression" dxfId="174" priority="3">
      <formula>$F4&gt;0</formula>
    </cfRule>
  </conditionalFormatting>
  <hyperlinks>
    <hyperlink ref="B1" location="İcmal!A1" display="ANA SAYFA" xr:uid="{57BB0944-1FDB-48BF-801C-0554CEBB549C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3FC1-F094-4451-8C28-BFA5652FEE6E}">
  <dimension ref="B1:R28"/>
  <sheetViews>
    <sheetView workbookViewId="0">
      <selection activeCell="E8" sqref="E8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SUMIF(Tablo1342627282930313233[KAR],"Açık",Tablo1342627282930313233[ADET])</f>
        <v>0.75</v>
      </c>
      <c r="D1" s="16">
        <f>+İcmal!E11</f>
        <v>112.92</v>
      </c>
      <c r="E1" s="16">
        <f>C1*D1</f>
        <v>84.69</v>
      </c>
      <c r="F1" s="16">
        <f>IFERROR(((SUM(Tablo1342627282930313233[ALIŞ TUTAR])-SUM(Tablo1342627282930313233[SATIŞ TUTAR]))/C1),"")</f>
        <v>-67.549999999999883</v>
      </c>
      <c r="G1" s="3">
        <f>IF(M3=0,L3,C1*(D1-F1))</f>
        <v>135.35249999999991</v>
      </c>
      <c r="J1" s="4">
        <v>0.02</v>
      </c>
      <c r="L1" s="5">
        <f>M1*(1-$J$1)</f>
        <v>-66.198999999999884</v>
      </c>
      <c r="M1" s="6">
        <f>F1</f>
        <v>-67.549999999999883</v>
      </c>
      <c r="N1" s="5">
        <f>M1*(1+$J$1)</f>
        <v>-68.900999999999883</v>
      </c>
      <c r="P1" s="5">
        <f>Q1*(1-$J$1)</f>
        <v>110.66159999999999</v>
      </c>
      <c r="Q1" s="6">
        <f>+D1</f>
        <v>112.92</v>
      </c>
      <c r="R1" s="5">
        <f>Q1*(1+$J$1)</f>
        <v>115.17840000000001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SUM(Tablo1342627282930313233[KAR])</f>
        <v>129.41250000000002</v>
      </c>
      <c r="M3" s="12">
        <f>C1</f>
        <v>0.75</v>
      </c>
    </row>
    <row r="4" spans="2:18" ht="21" customHeight="1" x14ac:dyDescent="0.3">
      <c r="B4" s="13">
        <v>45328</v>
      </c>
      <c r="C4" s="8">
        <v>9</v>
      </c>
      <c r="D4" s="16">
        <v>104.02</v>
      </c>
      <c r="E4" s="16">
        <v>112</v>
      </c>
      <c r="F4" s="17">
        <f>IF(Tablo1342627282930313233[[#This Row],[SATIŞ]]=0,"Açık",(E4-D4)*C4-3)</f>
        <v>68.820000000000036</v>
      </c>
      <c r="G4" s="15">
        <f>IF(Tablo1342627282930313233[[#This Row],[ALIŞ]]&gt;0,Tablo1342627282930313233[[#This Row],[ADET]]*Tablo1342627282930313233[[#This Row],[ALIŞ]]+1.5,0)</f>
        <v>937.68</v>
      </c>
      <c r="H4" s="15">
        <f>IF(Tablo1342627282930313233[[#This Row],[SATIŞ]]&gt;0,(Tablo1342627282930313233[[#This Row],[ADET]]*Tablo1342627282930313233[[#This Row],[SATIŞ]]-1.5),0)</f>
        <v>1006.5</v>
      </c>
      <c r="L4" s="5"/>
      <c r="M4" s="5"/>
      <c r="N4" s="5"/>
    </row>
    <row r="5" spans="2:18" ht="21" customHeight="1" x14ac:dyDescent="0.3">
      <c r="B5" s="13">
        <v>45330</v>
      </c>
      <c r="C5" s="8">
        <v>0.75</v>
      </c>
      <c r="D5" s="16">
        <v>103</v>
      </c>
      <c r="F5" s="17" t="str">
        <f>IF(Tablo1342627282930313233[[#This Row],[SATIŞ]]=0,"Açık",(E5-D5)*C5-3)</f>
        <v>Açık</v>
      </c>
      <c r="G5" s="15">
        <f>IF(Tablo1342627282930313233[[#This Row],[ALIŞ]]&gt;0,Tablo1342627282930313233[[#This Row],[ADET]]*Tablo1342627282930313233[[#This Row],[ALIŞ]]+1.5,0)</f>
        <v>78.75</v>
      </c>
      <c r="H5" s="15">
        <f>IF(Tablo1342627282930313233[[#This Row],[SATIŞ]]&gt;0,(Tablo1342627282930313233[[#This Row],[ADET]]*Tablo1342627282930313233[[#This Row],[SATIŞ]]-1.5),0)</f>
        <v>0</v>
      </c>
    </row>
    <row r="6" spans="2:18" ht="21" customHeight="1" x14ac:dyDescent="0.3">
      <c r="B6" s="13">
        <v>45330</v>
      </c>
      <c r="C6" s="8">
        <v>4.25</v>
      </c>
      <c r="D6" s="16">
        <v>103</v>
      </c>
      <c r="E6" s="16">
        <v>109.69</v>
      </c>
      <c r="F6" s="17">
        <f>IF(Tablo1342627282930313233[[#This Row],[SATIŞ]]=0,"Açık",(E6-D6)*C6-3)</f>
        <v>25.43249999999999</v>
      </c>
      <c r="G6" s="15">
        <f>IF(Tablo1342627282930313233[[#This Row],[ALIŞ]]&gt;0,Tablo1342627282930313233[[#This Row],[ADET]]*Tablo1342627282930313233[[#This Row],[ALIŞ]]+1.5,0)</f>
        <v>439.25</v>
      </c>
      <c r="H6" s="15">
        <f>IF(Tablo1342627282930313233[[#This Row],[SATIŞ]]&gt;0,(Tablo1342627282930313233[[#This Row],[ADET]]*Tablo1342627282930313233[[#This Row],[SATIŞ]]-1.5),0)</f>
        <v>464.6825</v>
      </c>
    </row>
    <row r="7" spans="2:18" ht="21" customHeight="1" x14ac:dyDescent="0.3">
      <c r="B7" s="13">
        <v>45330</v>
      </c>
      <c r="C7" s="8">
        <v>3</v>
      </c>
      <c r="D7" s="16">
        <v>102.28</v>
      </c>
      <c r="E7" s="16">
        <v>115</v>
      </c>
      <c r="F7" s="17">
        <f>IF(Tablo1342627282930313233[[#This Row],[SATIŞ]]=0,"Açık",(E7-D7)*C7-3)</f>
        <v>35.159999999999997</v>
      </c>
      <c r="G7" s="15">
        <f>IF(Tablo1342627282930313233[[#This Row],[ALIŞ]]&gt;0,Tablo1342627282930313233[[#This Row],[ADET]]*Tablo1342627282930313233[[#This Row],[ALIŞ]]+1.5,0)</f>
        <v>308.34000000000003</v>
      </c>
      <c r="H7" s="15">
        <f>IF(Tablo1342627282930313233[[#This Row],[SATIŞ]]&gt;0,(Tablo1342627282930313233[[#This Row],[ADET]]*Tablo1342627282930313233[[#This Row],[SATIŞ]]-1.5),0)</f>
        <v>343.5</v>
      </c>
    </row>
    <row r="8" spans="2:18" ht="21" customHeight="1" x14ac:dyDescent="0.3">
      <c r="B8" s="13"/>
      <c r="F8" s="17" t="str">
        <f>IF(Tablo1342627282930313233[[#This Row],[SATIŞ]]=0,"Açık",(E8-D8)*C8-3)</f>
        <v>Açık</v>
      </c>
      <c r="G8" s="15">
        <f>IF(Tablo1342627282930313233[[#This Row],[ALIŞ]]&gt;0,Tablo1342627282930313233[[#This Row],[ADET]]*Tablo1342627282930313233[[#This Row],[ALIŞ]]+1.5,0)</f>
        <v>0</v>
      </c>
      <c r="H8" s="15">
        <f>IF(Tablo1342627282930313233[[#This Row],[SATIŞ]]&gt;0,(Tablo1342627282930313233[[#This Row],[ADET]]*Tablo1342627282930313233[[#This Row],[SATIŞ]]-1.5),0)</f>
        <v>0</v>
      </c>
    </row>
    <row r="9" spans="2:18" ht="21" customHeight="1" x14ac:dyDescent="0.3">
      <c r="B9" s="13"/>
      <c r="F9" s="17" t="str">
        <f>IF(Tablo1342627282930313233[[#This Row],[SATIŞ]]=0,"Açık",(E9-D9)*C9-3)</f>
        <v>Açık</v>
      </c>
      <c r="G9" s="15">
        <f>IF(Tablo1342627282930313233[[#This Row],[ALIŞ]]&gt;0,Tablo1342627282930313233[[#This Row],[ADET]]*Tablo1342627282930313233[[#This Row],[ALIŞ]]+1.5,0)</f>
        <v>0</v>
      </c>
      <c r="H9" s="15">
        <f>IF(Tablo1342627282930313233[[#This Row],[SATIŞ]]&gt;0,(Tablo1342627282930313233[[#This Row],[ADET]]*Tablo1342627282930313233[[#This Row],[SATIŞ]]-1.5),0)</f>
        <v>0</v>
      </c>
    </row>
    <row r="10" spans="2:18" ht="21" customHeight="1" x14ac:dyDescent="0.3">
      <c r="B10" s="13"/>
      <c r="F10" s="17" t="str">
        <f>IF(Tablo1342627282930313233[[#This Row],[SATIŞ]]=0,"Açık",(E10-D10)*C10-3)</f>
        <v>Açık</v>
      </c>
      <c r="G10" s="15">
        <f>IF(Tablo1342627282930313233[[#This Row],[ALIŞ]]&gt;0,Tablo1342627282930313233[[#This Row],[ADET]]*Tablo1342627282930313233[[#This Row],[ALIŞ]]+1.5,0)</f>
        <v>0</v>
      </c>
      <c r="H10" s="15">
        <f>IF(Tablo1342627282930313233[[#This Row],[SATIŞ]]&gt;0,(Tablo1342627282930313233[[#This Row],[ADET]]*Tablo1342627282930313233[[#This Row],[SATIŞ]]-1.5),0)</f>
        <v>0</v>
      </c>
    </row>
    <row r="11" spans="2:18" ht="21" customHeight="1" x14ac:dyDescent="0.3">
      <c r="B11" s="13"/>
      <c r="F11" s="17" t="str">
        <f>IF(Tablo1342627282930313233[[#This Row],[SATIŞ]]=0,"Açık",(E11-D11)*C11-3)</f>
        <v>Açık</v>
      </c>
      <c r="G11" s="15">
        <f>IF(Tablo1342627282930313233[[#This Row],[ALIŞ]]&gt;0,Tablo1342627282930313233[[#This Row],[ADET]]*Tablo1342627282930313233[[#This Row],[ALIŞ]]+1.5,0)</f>
        <v>0</v>
      </c>
      <c r="H11" s="15">
        <f>IF(Tablo1342627282930313233[[#This Row],[SATIŞ]]&gt;0,(Tablo1342627282930313233[[#This Row],[ADET]]*Tablo1342627282930313233[[#This Row],[SATIŞ]]-1.5),0)</f>
        <v>0</v>
      </c>
    </row>
    <row r="12" spans="2:18" ht="21" customHeight="1" x14ac:dyDescent="0.3">
      <c r="B12" s="13"/>
      <c r="F12" s="17" t="str">
        <f>IF(Tablo1342627282930313233[[#This Row],[SATIŞ]]=0,"Açık",(E12-D12)*C12-3)</f>
        <v>Açık</v>
      </c>
      <c r="G12" s="15">
        <f>IF(Tablo1342627282930313233[[#This Row],[ALIŞ]]&gt;0,Tablo1342627282930313233[[#This Row],[ADET]]*Tablo1342627282930313233[[#This Row],[ALIŞ]]+1.5,0)</f>
        <v>0</v>
      </c>
      <c r="H12" s="15">
        <f>IF(Tablo1342627282930313233[[#This Row],[SATIŞ]]&gt;0,(Tablo1342627282930313233[[#This Row],[ADET]]*Tablo1342627282930313233[[#This Row],[SATIŞ]]-1.5),0)</f>
        <v>0</v>
      </c>
      <c r="J12">
        <f>+Tablo1342627282930313233[[#This Row],[ALIŞ]]*1.02</f>
        <v>0</v>
      </c>
    </row>
    <row r="13" spans="2:18" ht="21" customHeight="1" x14ac:dyDescent="0.3">
      <c r="B13" s="13"/>
      <c r="F13" s="17" t="str">
        <f>IF(Tablo1342627282930313233[[#This Row],[SATIŞ]]=0,"Açık",(E13-D13)*C13-3)</f>
        <v>Açık</v>
      </c>
      <c r="G13" s="15">
        <f>IF(Tablo1342627282930313233[[#This Row],[ALIŞ]]&gt;0,Tablo1342627282930313233[[#This Row],[ADET]]*Tablo1342627282930313233[[#This Row],[ALIŞ]]+1.5,0)</f>
        <v>0</v>
      </c>
      <c r="H13" s="15">
        <f>IF(Tablo1342627282930313233[[#This Row],[SATIŞ]]&gt;0,(Tablo1342627282930313233[[#This Row],[ADET]]*Tablo1342627282930313233[[#This Row],[SATIŞ]]-1.5),0)</f>
        <v>0</v>
      </c>
    </row>
    <row r="14" spans="2:18" ht="21" customHeight="1" x14ac:dyDescent="0.3">
      <c r="B14" s="13"/>
      <c r="F14" s="17" t="str">
        <f>IF(Tablo1342627282930313233[[#This Row],[SATIŞ]]=0,"Açık",(E14-D14)*C14-3)</f>
        <v>Açık</v>
      </c>
      <c r="G14" s="15">
        <f>IF(Tablo1342627282930313233[[#This Row],[ALIŞ]]&gt;0,Tablo1342627282930313233[[#This Row],[ADET]]*Tablo1342627282930313233[[#This Row],[ALIŞ]]+1.5,0)</f>
        <v>0</v>
      </c>
      <c r="H14" s="15">
        <f>IF(Tablo1342627282930313233[[#This Row],[SATIŞ]]&gt;0,(Tablo1342627282930313233[[#This Row],[ADET]]*Tablo1342627282930313233[[#This Row],[SATIŞ]]-1.5),0)</f>
        <v>0</v>
      </c>
    </row>
    <row r="15" spans="2:18" ht="21" customHeight="1" x14ac:dyDescent="0.3">
      <c r="B15" s="13"/>
      <c r="F15" s="17" t="str">
        <f>IF(Tablo1342627282930313233[[#This Row],[SATIŞ]]=0,"Açık",(E15-D15)*C15-3)</f>
        <v>Açık</v>
      </c>
      <c r="G15" s="15">
        <f>IF(Tablo1342627282930313233[[#This Row],[ALIŞ]]&gt;0,Tablo1342627282930313233[[#This Row],[ADET]]*Tablo1342627282930313233[[#This Row],[ALIŞ]]+1.5,0)</f>
        <v>0</v>
      </c>
      <c r="H15" s="15">
        <f>IF(Tablo1342627282930313233[[#This Row],[SATIŞ]]&gt;0,(Tablo1342627282930313233[[#This Row],[ADET]]*Tablo1342627282930313233[[#This Row],[SATIŞ]]-1.5),0)</f>
        <v>0</v>
      </c>
    </row>
    <row r="16" spans="2:18" ht="21" customHeight="1" x14ac:dyDescent="0.3">
      <c r="B16" s="13"/>
      <c r="F16" s="17" t="str">
        <f>IF(Tablo1342627282930313233[[#This Row],[SATIŞ]]=0,"Açık",(E16-D16)*C16-3)</f>
        <v>Açık</v>
      </c>
      <c r="G16" s="15">
        <f>IF(Tablo1342627282930313233[[#This Row],[ALIŞ]]&gt;0,Tablo1342627282930313233[[#This Row],[ADET]]*Tablo1342627282930313233[[#This Row],[ALIŞ]]+1.5,0)</f>
        <v>0</v>
      </c>
      <c r="H16" s="15">
        <f>IF(Tablo1342627282930313233[[#This Row],[SATIŞ]]&gt;0,(Tablo1342627282930313233[[#This Row],[ADET]]*Tablo1342627282930313233[[#This Row],[SATIŞ]]-1.5),0)</f>
        <v>0</v>
      </c>
    </row>
    <row r="17" spans="2:8" ht="21" customHeight="1" x14ac:dyDescent="0.3">
      <c r="B17" s="13"/>
      <c r="F17" s="17" t="str">
        <f>IF(Tablo1342627282930313233[[#This Row],[SATIŞ]]=0,"Açık",(E17-D17)*C17-3)</f>
        <v>Açık</v>
      </c>
      <c r="G17" s="15">
        <f>IF(Tablo1342627282930313233[[#This Row],[ALIŞ]]&gt;0,Tablo1342627282930313233[[#This Row],[ADET]]*Tablo1342627282930313233[[#This Row],[ALIŞ]]+1.5,0)</f>
        <v>0</v>
      </c>
      <c r="H17" s="15">
        <f>IF(Tablo1342627282930313233[[#This Row],[SATIŞ]]&gt;0,(Tablo1342627282930313233[[#This Row],[ADET]]*Tablo1342627282930313233[[#This Row],[SATIŞ]]-1.5),0)</f>
        <v>0</v>
      </c>
    </row>
    <row r="18" spans="2:8" ht="21" customHeight="1" x14ac:dyDescent="0.3">
      <c r="B18" s="13"/>
      <c r="F18" s="17" t="str">
        <f>IF(Tablo1342627282930313233[[#This Row],[SATIŞ]]=0,"Açık",(E18-D18)*C18-3)</f>
        <v>Açık</v>
      </c>
      <c r="G18" s="15">
        <f>IF(Tablo1342627282930313233[[#This Row],[ALIŞ]]&gt;0,Tablo1342627282930313233[[#This Row],[ADET]]*Tablo1342627282930313233[[#This Row],[ALIŞ]]+1.5,0)</f>
        <v>0</v>
      </c>
      <c r="H18" s="15">
        <f>IF(Tablo1342627282930313233[[#This Row],[SATIŞ]]&gt;0,(Tablo1342627282930313233[[#This Row],[ADET]]*Tablo1342627282930313233[[#This Row],[SATIŞ]]-1.5),0)</f>
        <v>0</v>
      </c>
    </row>
    <row r="19" spans="2:8" ht="21" customHeight="1" x14ac:dyDescent="0.3">
      <c r="B19" s="13"/>
      <c r="F19" s="17" t="str">
        <f>IF(Tablo1342627282930313233[[#This Row],[SATIŞ]]=0,"Açık",(E19-D19)*C19-3)</f>
        <v>Açık</v>
      </c>
      <c r="G19" s="15">
        <f>IF(Tablo1342627282930313233[[#This Row],[ALIŞ]]&gt;0,Tablo1342627282930313233[[#This Row],[ADET]]*Tablo1342627282930313233[[#This Row],[ALIŞ]]+1.5,0)</f>
        <v>0</v>
      </c>
      <c r="H19" s="15">
        <f>IF(Tablo1342627282930313233[[#This Row],[SATIŞ]]&gt;0,(Tablo1342627282930313233[[#This Row],[ADET]]*Tablo1342627282930313233[[#This Row],[SATIŞ]]-1.5),0)</f>
        <v>0</v>
      </c>
    </row>
    <row r="20" spans="2:8" ht="21" customHeight="1" x14ac:dyDescent="0.3">
      <c r="B20" s="13"/>
      <c r="F20" s="17" t="str">
        <f>IF(Tablo1342627282930313233[[#This Row],[SATIŞ]]=0,"Açık",(E20-D20)*C20-3)</f>
        <v>Açık</v>
      </c>
      <c r="G20" s="15">
        <f>IF(Tablo1342627282930313233[[#This Row],[ALIŞ]]&gt;0,Tablo1342627282930313233[[#This Row],[ADET]]*Tablo1342627282930313233[[#This Row],[ALIŞ]]+1.5,0)</f>
        <v>0</v>
      </c>
      <c r="H20" s="15">
        <f>IF(Tablo1342627282930313233[[#This Row],[SATIŞ]]&gt;0,(Tablo1342627282930313233[[#This Row],[ADET]]*Tablo1342627282930313233[[#This Row],[SATIŞ]]-1.5),0)</f>
        <v>0</v>
      </c>
    </row>
    <row r="21" spans="2:8" ht="21" customHeight="1" x14ac:dyDescent="0.3">
      <c r="B21" s="13"/>
      <c r="F21" s="17" t="str">
        <f>IF(Tablo1342627282930313233[[#This Row],[SATIŞ]]=0,"Açık",(E21-D21)*C21-3)</f>
        <v>Açık</v>
      </c>
      <c r="G21" s="15">
        <f>IF(Tablo1342627282930313233[[#This Row],[ALIŞ]]&gt;0,Tablo1342627282930313233[[#This Row],[ADET]]*Tablo1342627282930313233[[#This Row],[ALIŞ]]+1.5,0)</f>
        <v>0</v>
      </c>
      <c r="H21" s="15">
        <f>IF(Tablo1342627282930313233[[#This Row],[SATIŞ]]&gt;0,(Tablo1342627282930313233[[#This Row],[ADET]]*Tablo1342627282930313233[[#This Row],[SATIŞ]]-1.5),0)</f>
        <v>0</v>
      </c>
    </row>
    <row r="22" spans="2:8" ht="21" customHeight="1" x14ac:dyDescent="0.3">
      <c r="B22" s="13"/>
      <c r="F22" s="17" t="str">
        <f>IF(Tablo1342627282930313233[[#This Row],[SATIŞ]]=0,"Açık",(E22-D22)*C22-3)</f>
        <v>Açık</v>
      </c>
      <c r="G22" s="15">
        <f>IF(Tablo1342627282930313233[[#This Row],[ALIŞ]]&gt;0,Tablo1342627282930313233[[#This Row],[ADET]]*Tablo1342627282930313233[[#This Row],[ALIŞ]]+1.5,0)</f>
        <v>0</v>
      </c>
      <c r="H22" s="15">
        <f>IF(Tablo1342627282930313233[[#This Row],[SATIŞ]]&gt;0,(Tablo1342627282930313233[[#This Row],[ADET]]*Tablo1342627282930313233[[#This Row],[SATIŞ]]-1.5),0)</f>
        <v>0</v>
      </c>
    </row>
    <row r="23" spans="2:8" ht="21" customHeight="1" x14ac:dyDescent="0.3">
      <c r="B23" s="13"/>
      <c r="F23" s="17" t="str">
        <f>IF(Tablo1342627282930313233[[#This Row],[SATIŞ]]=0,"Açık",(E23-D23)*C23-3)</f>
        <v>Açık</v>
      </c>
      <c r="G23" s="15">
        <f>IF(Tablo1342627282930313233[[#This Row],[ALIŞ]]&gt;0,Tablo1342627282930313233[[#This Row],[ADET]]*Tablo1342627282930313233[[#This Row],[ALIŞ]]+1.5,0)</f>
        <v>0</v>
      </c>
      <c r="H23" s="15">
        <f>IF(Tablo1342627282930313233[[#This Row],[SATIŞ]]&gt;0,(Tablo1342627282930313233[[#This Row],[ADET]]*Tablo1342627282930313233[[#This Row],[SATIŞ]]-1.5),0)</f>
        <v>0</v>
      </c>
    </row>
    <row r="24" spans="2:8" ht="21" customHeight="1" x14ac:dyDescent="0.3">
      <c r="B24" s="13"/>
      <c r="F24" s="17" t="str">
        <f>IF(Tablo1342627282930313233[[#This Row],[SATIŞ]]=0,"Açık",(E24-D24)*C24-3)</f>
        <v>Açık</v>
      </c>
      <c r="G24" s="15">
        <f>IF(Tablo1342627282930313233[[#This Row],[ALIŞ]]&gt;0,Tablo1342627282930313233[[#This Row],[ADET]]*Tablo1342627282930313233[[#This Row],[ALIŞ]]+1.5,0)</f>
        <v>0</v>
      </c>
      <c r="H24" s="15">
        <f>IF(Tablo1342627282930313233[[#This Row],[SATIŞ]]&gt;0,(Tablo1342627282930313233[[#This Row],[ADET]]*Tablo1342627282930313233[[#This Row],[SATIŞ]]-1.5),0)</f>
        <v>0</v>
      </c>
    </row>
    <row r="25" spans="2:8" ht="21" customHeight="1" x14ac:dyDescent="0.3">
      <c r="B25" s="13"/>
      <c r="F25" s="17" t="str">
        <f>IF(Tablo1342627282930313233[[#This Row],[SATIŞ]]=0,"Açık",(E25-D25)*C25-3)</f>
        <v>Açık</v>
      </c>
      <c r="G25" s="15">
        <f>IF(Tablo1342627282930313233[[#This Row],[ALIŞ]]&gt;0,Tablo1342627282930313233[[#This Row],[ADET]]*Tablo1342627282930313233[[#This Row],[ALIŞ]]+1.5,0)</f>
        <v>0</v>
      </c>
      <c r="H25" s="15">
        <f>IF(Tablo1342627282930313233[[#This Row],[SATIŞ]]&gt;0,(Tablo1342627282930313233[[#This Row],[ADET]]*Tablo1342627282930313233[[#This Row],[SATIŞ]]-1.5),0)</f>
        <v>0</v>
      </c>
    </row>
    <row r="26" spans="2:8" ht="21" customHeight="1" x14ac:dyDescent="0.3">
      <c r="B26" s="13"/>
      <c r="F26" s="17" t="str">
        <f>IF(Tablo1342627282930313233[[#This Row],[SATIŞ]]=0,"Açık",(E26-D26)*C26-3)</f>
        <v>Açık</v>
      </c>
      <c r="G26" s="15">
        <f>IF(Tablo1342627282930313233[[#This Row],[ALIŞ]]&gt;0,Tablo1342627282930313233[[#This Row],[ADET]]*Tablo1342627282930313233[[#This Row],[ALIŞ]]+1.5,0)</f>
        <v>0</v>
      </c>
      <c r="H26" s="15">
        <f>IF(Tablo1342627282930313233[[#This Row],[SATIŞ]]&gt;0,(Tablo1342627282930313233[[#This Row],[ADET]]*Tablo1342627282930313233[[#This Row],[SATIŞ]]-1.5),0)</f>
        <v>0</v>
      </c>
    </row>
    <row r="27" spans="2:8" ht="21" customHeight="1" x14ac:dyDescent="0.3">
      <c r="B27" s="13"/>
      <c r="F27" s="17" t="str">
        <f>IF(Tablo1342627282930313233[[#This Row],[SATIŞ]]=0,"Açık",(E27-D27)*C27-3)</f>
        <v>Açık</v>
      </c>
      <c r="G27" s="15">
        <f>IF(Tablo1342627282930313233[[#This Row],[ALIŞ]]&gt;0,Tablo1342627282930313233[[#This Row],[ADET]]*Tablo1342627282930313233[[#This Row],[ALIŞ]]+1.5,0)</f>
        <v>0</v>
      </c>
      <c r="H27" s="15">
        <f>IF(Tablo1342627282930313233[[#This Row],[SATIŞ]]&gt;0,(Tablo1342627282930313233[[#This Row],[ADET]]*Tablo1342627282930313233[[#This Row],[SATIŞ]]-1.5),0)</f>
        <v>0</v>
      </c>
    </row>
    <row r="28" spans="2:8" ht="21" customHeight="1" x14ac:dyDescent="0.3">
      <c r="B28" s="13"/>
      <c r="F28" s="17" t="str">
        <f>IF(Tablo1342627282930313233[[#This Row],[SATIŞ]]=0,"Açık",(E28-D28)*C28-3)</f>
        <v>Açık</v>
      </c>
      <c r="G28" s="15">
        <f>IF(Tablo1342627282930313233[[#This Row],[ALIŞ]]&gt;0,Tablo1342627282930313233[[#This Row],[ADET]]*Tablo1342627282930313233[[#This Row],[ALIŞ]]+1.5,0)</f>
        <v>0</v>
      </c>
      <c r="H28" s="15">
        <f>IF(Tablo1342627282930313233[[#This Row],[SATIŞ]]&gt;0,(Tablo1342627282930313233[[#This Row],[ADET]]*Tablo1342627282930313233[[#This Row],[SATIŞ]]-1.5),0)</f>
        <v>0</v>
      </c>
    </row>
  </sheetData>
  <conditionalFormatting sqref="B4:E4 B5:F28">
    <cfRule type="expression" dxfId="173" priority="4">
      <formula>$F4&lt;0</formula>
    </cfRule>
    <cfRule type="expression" dxfId="172" priority="5">
      <formula>$F4="Açık"</formula>
    </cfRule>
    <cfRule type="expression" dxfId="171" priority="6">
      <formula>$F4&gt;0</formula>
    </cfRule>
  </conditionalFormatting>
  <conditionalFormatting sqref="F4">
    <cfRule type="expression" dxfId="170" priority="1">
      <formula>$F4&lt;0</formula>
    </cfRule>
    <cfRule type="expression" dxfId="169" priority="2">
      <formula>$F4="Açık"</formula>
    </cfRule>
    <cfRule type="expression" dxfId="168" priority="3">
      <formula>$F4&gt;0</formula>
    </cfRule>
  </conditionalFormatting>
  <hyperlinks>
    <hyperlink ref="B1" location="İcmal!A1" display="ANA SAYFA" xr:uid="{62C0640E-2CDF-43A2-9402-4B2E52033A4B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C100-863D-4B59-81E6-339960C57663}">
  <dimension ref="B1:R27"/>
  <sheetViews>
    <sheetView workbookViewId="0">
      <selection activeCell="L9" sqref="L9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SUMIF(Tablo134[KAR],"Açık",Tablo134[ADET])</f>
        <v>0</v>
      </c>
      <c r="E1" s="16">
        <f>C1*D1</f>
        <v>0</v>
      </c>
      <c r="F1" s="16" t="str">
        <f>IFERROR(((SUM(Tablo134[ALIŞ TUTAR])-SUM(Tablo134[SATIŞ TUTAR]))/C1),"")</f>
        <v/>
      </c>
      <c r="G1" s="3">
        <f>IF(M3=0,L3,C1*(D1-F1))</f>
        <v>9.9500000000000064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SUM(Tablo134[KAR])</f>
        <v>9.9500000000000064</v>
      </c>
      <c r="M3" s="12">
        <f>C1</f>
        <v>0</v>
      </c>
    </row>
    <row r="4" spans="2:18" ht="21" customHeight="1" x14ac:dyDescent="0.3">
      <c r="B4" s="13">
        <v>44725</v>
      </c>
      <c r="C4" s="8">
        <v>10</v>
      </c>
      <c r="D4" s="16">
        <v>9.01</v>
      </c>
      <c r="E4" s="16">
        <v>9.75</v>
      </c>
      <c r="F4" s="17">
        <f>IF(Tablo134[[#This Row],[SATIŞ]]=0,"Açık",(E4-D4)*C4-3)</f>
        <v>4.4000000000000021</v>
      </c>
      <c r="G4" s="15">
        <f>IF(Tablo134[[#This Row],[ALIŞ]]&gt;0,Tablo134[[#This Row],[ADET]]*Tablo134[[#This Row],[ALIŞ]]+1.5,0)</f>
        <v>91.6</v>
      </c>
      <c r="H4" s="15">
        <f>IF(Tablo134[[#This Row],[SATIŞ]]&gt;0,(Tablo134[[#This Row],[ADET]]*Tablo134[[#This Row],[SATIŞ]]-1.5),0)</f>
        <v>96</v>
      </c>
      <c r="L4" s="5"/>
      <c r="M4" s="5"/>
      <c r="N4" s="5"/>
    </row>
    <row r="5" spans="2:18" ht="21" customHeight="1" x14ac:dyDescent="0.3">
      <c r="B5" s="13">
        <v>44763</v>
      </c>
      <c r="C5" s="8">
        <v>15</v>
      </c>
      <c r="D5" s="16">
        <v>9.18</v>
      </c>
      <c r="E5" s="16">
        <v>9.75</v>
      </c>
      <c r="F5" s="17">
        <f>IF(Tablo134[[#This Row],[SATIŞ]]=0,"Açık",(E5-D5)*C5-3)</f>
        <v>5.5500000000000043</v>
      </c>
      <c r="G5" s="15">
        <f>IF(Tablo134[[#This Row],[ALIŞ]]&gt;0,Tablo134[[#This Row],[ADET]]*Tablo134[[#This Row],[ALIŞ]]+1.5,0)</f>
        <v>139.19999999999999</v>
      </c>
      <c r="H5" s="15">
        <f>IF(Tablo134[[#This Row],[SATIŞ]]&gt;0,(Tablo134[[#This Row],[ADET]]*Tablo134[[#This Row],[SATIŞ]]-1.5),0)</f>
        <v>144.75</v>
      </c>
    </row>
    <row r="6" spans="2:18" ht="21" customHeight="1" x14ac:dyDescent="0.3">
      <c r="B6" s="13"/>
      <c r="F6" s="17" t="str">
        <f>IF(Tablo134[[#This Row],[SATIŞ]]=0,"Açık",(E6-D6)*C6-3)</f>
        <v>Açık</v>
      </c>
      <c r="G6" s="15">
        <f>IF(Tablo134[[#This Row],[ALIŞ]]&gt;0,Tablo134[[#This Row],[ADET]]*Tablo134[[#This Row],[ALIŞ]]+1.5,0)</f>
        <v>0</v>
      </c>
      <c r="H6" s="15">
        <f>IF(Tablo134[[#This Row],[SATIŞ]]&gt;0,(Tablo134[[#This Row],[ADET]]*Tablo134[[#This Row],[SATIŞ]]-1.5),0)</f>
        <v>0</v>
      </c>
    </row>
    <row r="7" spans="2:18" ht="21" customHeight="1" x14ac:dyDescent="0.3">
      <c r="B7" s="13"/>
      <c r="F7" s="17" t="str">
        <f>IF(Tablo134[[#This Row],[SATIŞ]]=0,"Açık",(E7-D7)*C7-3)</f>
        <v>Açık</v>
      </c>
      <c r="G7" s="15">
        <f>IF(Tablo134[[#This Row],[ALIŞ]]&gt;0,Tablo134[[#This Row],[ADET]]*Tablo134[[#This Row],[ALIŞ]]+1.5,0)</f>
        <v>0</v>
      </c>
      <c r="H7" s="15">
        <f>IF(Tablo134[[#This Row],[SATIŞ]]&gt;0,(Tablo134[[#This Row],[ADET]]*Tablo134[[#This Row],[SATIŞ]]-1.5),0)</f>
        <v>0</v>
      </c>
    </row>
    <row r="8" spans="2:18" ht="21" customHeight="1" x14ac:dyDescent="0.3">
      <c r="B8" s="13"/>
      <c r="F8" s="17" t="str">
        <f>IF(Tablo134[[#This Row],[SATIŞ]]=0,"Açık",(E8-D8)*C8-3)</f>
        <v>Açık</v>
      </c>
      <c r="G8" s="15">
        <f>IF(Tablo134[[#This Row],[ALIŞ]]&gt;0,Tablo134[[#This Row],[ADET]]*Tablo134[[#This Row],[ALIŞ]]+1.5,0)</f>
        <v>0</v>
      </c>
      <c r="H8" s="15">
        <f>IF(Tablo134[[#This Row],[SATIŞ]]&gt;0,(Tablo134[[#This Row],[ADET]]*Tablo134[[#This Row],[SATIŞ]]-1.5),0)</f>
        <v>0</v>
      </c>
    </row>
    <row r="9" spans="2:18" ht="21" customHeight="1" x14ac:dyDescent="0.3">
      <c r="B9" s="13"/>
      <c r="F9" s="17" t="str">
        <f>IF(Tablo134[[#This Row],[SATIŞ]]=0,"Açık",(E9-D9)*C9-3)</f>
        <v>Açık</v>
      </c>
      <c r="G9" s="15">
        <f>IF(Tablo134[[#This Row],[ALIŞ]]&gt;0,Tablo134[[#This Row],[ADET]]*Tablo134[[#This Row],[ALIŞ]]+1.5,0)</f>
        <v>0</v>
      </c>
      <c r="H9" s="15">
        <f>IF(Tablo134[[#This Row],[SATIŞ]]&gt;0,(Tablo134[[#This Row],[ADET]]*Tablo134[[#This Row],[SATIŞ]]-1.5),0)</f>
        <v>0</v>
      </c>
    </row>
    <row r="10" spans="2:18" ht="21" customHeight="1" x14ac:dyDescent="0.3">
      <c r="B10" s="13"/>
      <c r="F10" s="17" t="str">
        <f>IF(Tablo134[[#This Row],[SATIŞ]]=0,"Açık",(E10-D10)*C10-3)</f>
        <v>Açık</v>
      </c>
      <c r="G10" s="15">
        <f>IF(Tablo134[[#This Row],[ALIŞ]]&gt;0,Tablo134[[#This Row],[ADET]]*Tablo134[[#This Row],[ALIŞ]]+1.5,0)</f>
        <v>0</v>
      </c>
      <c r="H10" s="15">
        <f>IF(Tablo134[[#This Row],[SATIŞ]]&gt;0,(Tablo134[[#This Row],[ADET]]*Tablo134[[#This Row],[SATIŞ]]-1.5),0)</f>
        <v>0</v>
      </c>
    </row>
    <row r="11" spans="2:18" ht="21" customHeight="1" x14ac:dyDescent="0.3">
      <c r="B11" s="13"/>
      <c r="F11" s="17" t="str">
        <f>IF(Tablo134[[#This Row],[SATIŞ]]=0,"Açık",(E11-D11)*C11-3)</f>
        <v>Açık</v>
      </c>
      <c r="G11" s="15">
        <f>IF(Tablo134[[#This Row],[ALIŞ]]&gt;0,Tablo134[[#This Row],[ADET]]*Tablo134[[#This Row],[ALIŞ]]+1.5,0)</f>
        <v>0</v>
      </c>
      <c r="H11" s="15">
        <f>IF(Tablo134[[#This Row],[SATIŞ]]&gt;0,(Tablo134[[#This Row],[ADET]]*Tablo134[[#This Row],[SATIŞ]]-1.5),0)</f>
        <v>0</v>
      </c>
      <c r="J11">
        <f>+Tablo134[[#This Row],[ALIŞ]]*1.02</f>
        <v>0</v>
      </c>
    </row>
    <row r="12" spans="2:18" ht="21" customHeight="1" x14ac:dyDescent="0.3">
      <c r="B12" s="13"/>
      <c r="F12" s="17" t="str">
        <f>IF(Tablo134[[#This Row],[SATIŞ]]=0,"Açık",(E12-D12)*C12-3)</f>
        <v>Açık</v>
      </c>
      <c r="G12" s="15">
        <f>IF(Tablo134[[#This Row],[ALIŞ]]&gt;0,Tablo134[[#This Row],[ADET]]*Tablo134[[#This Row],[ALIŞ]]+1.5,0)</f>
        <v>0</v>
      </c>
      <c r="H12" s="15">
        <f>IF(Tablo134[[#This Row],[SATIŞ]]&gt;0,(Tablo134[[#This Row],[ADET]]*Tablo134[[#This Row],[SATIŞ]]-1.5),0)</f>
        <v>0</v>
      </c>
    </row>
    <row r="13" spans="2:18" ht="21" customHeight="1" x14ac:dyDescent="0.3">
      <c r="B13" s="13"/>
      <c r="F13" s="17" t="str">
        <f>IF(Tablo134[[#This Row],[SATIŞ]]=0,"Açık",(E13-D13)*C13-3)</f>
        <v>Açık</v>
      </c>
      <c r="G13" s="15">
        <f>IF(Tablo134[[#This Row],[ALIŞ]]&gt;0,Tablo134[[#This Row],[ADET]]*Tablo134[[#This Row],[ALIŞ]]+1.5,0)</f>
        <v>0</v>
      </c>
      <c r="H13" s="15">
        <f>IF(Tablo134[[#This Row],[SATIŞ]]&gt;0,(Tablo134[[#This Row],[ADET]]*Tablo134[[#This Row],[SATIŞ]]-1.5),0)</f>
        <v>0</v>
      </c>
    </row>
    <row r="14" spans="2:18" ht="21" customHeight="1" x14ac:dyDescent="0.3">
      <c r="B14" s="13"/>
      <c r="F14" s="17" t="str">
        <f>IF(Tablo134[[#This Row],[SATIŞ]]=0,"Açık",(E14-D14)*C14-3)</f>
        <v>Açık</v>
      </c>
      <c r="G14" s="15">
        <f>IF(Tablo134[[#This Row],[ALIŞ]]&gt;0,Tablo134[[#This Row],[ADET]]*Tablo134[[#This Row],[ALIŞ]]+1.5,0)</f>
        <v>0</v>
      </c>
      <c r="H14" s="15">
        <f>IF(Tablo134[[#This Row],[SATIŞ]]&gt;0,(Tablo134[[#This Row],[ADET]]*Tablo134[[#This Row],[SATIŞ]]-1.5),0)</f>
        <v>0</v>
      </c>
    </row>
    <row r="15" spans="2:18" ht="21" customHeight="1" x14ac:dyDescent="0.3">
      <c r="B15" s="13"/>
      <c r="F15" s="17" t="str">
        <f>IF(Tablo134[[#This Row],[SATIŞ]]=0,"Açık",(E15-D15)*C15-3)</f>
        <v>Açık</v>
      </c>
      <c r="G15" s="15">
        <f>IF(Tablo134[[#This Row],[ALIŞ]]&gt;0,Tablo134[[#This Row],[ADET]]*Tablo134[[#This Row],[ALIŞ]]+1.5,0)</f>
        <v>0</v>
      </c>
      <c r="H15" s="15">
        <f>IF(Tablo134[[#This Row],[SATIŞ]]&gt;0,(Tablo134[[#This Row],[ADET]]*Tablo134[[#This Row],[SATIŞ]]-1.5),0)</f>
        <v>0</v>
      </c>
    </row>
    <row r="16" spans="2:18" ht="21" customHeight="1" x14ac:dyDescent="0.3">
      <c r="B16" s="13"/>
      <c r="F16" s="17" t="str">
        <f>IF(Tablo134[[#This Row],[SATIŞ]]=0,"Açık",(E16-D16)*C16-3)</f>
        <v>Açık</v>
      </c>
      <c r="G16" s="15">
        <f>IF(Tablo134[[#This Row],[ALIŞ]]&gt;0,Tablo134[[#This Row],[ADET]]*Tablo134[[#This Row],[ALIŞ]]+1.5,0)</f>
        <v>0</v>
      </c>
      <c r="H16" s="15">
        <f>IF(Tablo134[[#This Row],[SATIŞ]]&gt;0,(Tablo134[[#This Row],[ADET]]*Tablo134[[#This Row],[SATIŞ]]-1.5),0)</f>
        <v>0</v>
      </c>
    </row>
    <row r="17" spans="2:8" ht="21" customHeight="1" x14ac:dyDescent="0.3">
      <c r="B17" s="13"/>
      <c r="F17" s="17" t="str">
        <f>IF(Tablo134[[#This Row],[SATIŞ]]=0,"Açık",(E17-D17)*C17-3)</f>
        <v>Açık</v>
      </c>
      <c r="G17" s="15">
        <f>IF(Tablo134[[#This Row],[ALIŞ]]&gt;0,Tablo134[[#This Row],[ADET]]*Tablo134[[#This Row],[ALIŞ]]+1.5,0)</f>
        <v>0</v>
      </c>
      <c r="H17" s="15">
        <f>IF(Tablo134[[#This Row],[SATIŞ]]&gt;0,(Tablo134[[#This Row],[ADET]]*Tablo134[[#This Row],[SATIŞ]]-1.5),0)</f>
        <v>0</v>
      </c>
    </row>
    <row r="18" spans="2:8" ht="21" customHeight="1" x14ac:dyDescent="0.3">
      <c r="B18" s="13"/>
      <c r="F18" s="17" t="str">
        <f>IF(Tablo134[[#This Row],[SATIŞ]]=0,"Açık",(E18-D18)*C18-3)</f>
        <v>Açık</v>
      </c>
      <c r="G18" s="15">
        <f>IF(Tablo134[[#This Row],[ALIŞ]]&gt;0,Tablo134[[#This Row],[ADET]]*Tablo134[[#This Row],[ALIŞ]]+1.5,0)</f>
        <v>0</v>
      </c>
      <c r="H18" s="15">
        <f>IF(Tablo134[[#This Row],[SATIŞ]]&gt;0,(Tablo134[[#This Row],[ADET]]*Tablo134[[#This Row],[SATIŞ]]-1.5),0)</f>
        <v>0</v>
      </c>
    </row>
    <row r="19" spans="2:8" ht="21" customHeight="1" x14ac:dyDescent="0.3">
      <c r="B19" s="13"/>
      <c r="F19" s="17" t="str">
        <f>IF(Tablo134[[#This Row],[SATIŞ]]=0,"Açık",(E19-D19)*C19-3)</f>
        <v>Açık</v>
      </c>
      <c r="G19" s="15">
        <f>IF(Tablo134[[#This Row],[ALIŞ]]&gt;0,Tablo134[[#This Row],[ADET]]*Tablo134[[#This Row],[ALIŞ]]+1.5,0)</f>
        <v>0</v>
      </c>
      <c r="H19" s="15">
        <f>IF(Tablo134[[#This Row],[SATIŞ]]&gt;0,(Tablo134[[#This Row],[ADET]]*Tablo134[[#This Row],[SATIŞ]]-1.5),0)</f>
        <v>0</v>
      </c>
    </row>
    <row r="20" spans="2:8" ht="21" customHeight="1" x14ac:dyDescent="0.3">
      <c r="B20" s="13"/>
      <c r="F20" s="17" t="str">
        <f>IF(Tablo134[[#This Row],[SATIŞ]]=0,"Açık",(E20-D20)*C20-3)</f>
        <v>Açık</v>
      </c>
      <c r="G20" s="15">
        <f>IF(Tablo134[[#This Row],[ALIŞ]]&gt;0,Tablo134[[#This Row],[ADET]]*Tablo134[[#This Row],[ALIŞ]]+1.5,0)</f>
        <v>0</v>
      </c>
      <c r="H20" s="15">
        <f>IF(Tablo134[[#This Row],[SATIŞ]]&gt;0,(Tablo134[[#This Row],[ADET]]*Tablo134[[#This Row],[SATIŞ]]-1.5),0)</f>
        <v>0</v>
      </c>
    </row>
    <row r="21" spans="2:8" ht="21" customHeight="1" x14ac:dyDescent="0.3">
      <c r="B21" s="13"/>
      <c r="F21" s="17" t="str">
        <f>IF(Tablo134[[#This Row],[SATIŞ]]=0,"Açık",(E21-D21)*C21-3)</f>
        <v>Açık</v>
      </c>
      <c r="G21" s="15">
        <f>IF(Tablo134[[#This Row],[ALIŞ]]&gt;0,Tablo134[[#This Row],[ADET]]*Tablo134[[#This Row],[ALIŞ]]+1.5,0)</f>
        <v>0</v>
      </c>
      <c r="H21" s="15">
        <f>IF(Tablo134[[#This Row],[SATIŞ]]&gt;0,(Tablo134[[#This Row],[ADET]]*Tablo134[[#This Row],[SATIŞ]]-1.5),0)</f>
        <v>0</v>
      </c>
    </row>
    <row r="22" spans="2:8" ht="21" customHeight="1" x14ac:dyDescent="0.3">
      <c r="B22" s="13"/>
      <c r="F22" s="17" t="str">
        <f>IF(Tablo134[[#This Row],[SATIŞ]]=0,"Açık",(E22-D22)*C22-3)</f>
        <v>Açık</v>
      </c>
      <c r="G22" s="15">
        <f>IF(Tablo134[[#This Row],[ALIŞ]]&gt;0,Tablo134[[#This Row],[ADET]]*Tablo134[[#This Row],[ALIŞ]]+1.5,0)</f>
        <v>0</v>
      </c>
      <c r="H22" s="15">
        <f>IF(Tablo134[[#This Row],[SATIŞ]]&gt;0,(Tablo134[[#This Row],[ADET]]*Tablo134[[#This Row],[SATIŞ]]-1.5),0)</f>
        <v>0</v>
      </c>
    </row>
    <row r="23" spans="2:8" ht="21" customHeight="1" x14ac:dyDescent="0.3">
      <c r="B23" s="13"/>
      <c r="F23" s="17" t="str">
        <f>IF(Tablo134[[#This Row],[SATIŞ]]=0,"Açık",(E23-D23)*C23-3)</f>
        <v>Açık</v>
      </c>
      <c r="G23" s="15">
        <f>IF(Tablo134[[#This Row],[ALIŞ]]&gt;0,Tablo134[[#This Row],[ADET]]*Tablo134[[#This Row],[ALIŞ]]+1.5,0)</f>
        <v>0</v>
      </c>
      <c r="H23" s="15">
        <f>IF(Tablo134[[#This Row],[SATIŞ]]&gt;0,(Tablo134[[#This Row],[ADET]]*Tablo134[[#This Row],[SATIŞ]]-1.5),0)</f>
        <v>0</v>
      </c>
    </row>
    <row r="24" spans="2:8" ht="21" customHeight="1" x14ac:dyDescent="0.3">
      <c r="B24" s="13"/>
      <c r="F24" s="17" t="str">
        <f>IF(Tablo134[[#This Row],[SATIŞ]]=0,"Açık",(E24-D24)*C24-3)</f>
        <v>Açık</v>
      </c>
      <c r="G24" s="15">
        <f>IF(Tablo134[[#This Row],[ALIŞ]]&gt;0,Tablo134[[#This Row],[ADET]]*Tablo134[[#This Row],[ALIŞ]]+1.5,0)</f>
        <v>0</v>
      </c>
      <c r="H24" s="15">
        <f>IF(Tablo134[[#This Row],[SATIŞ]]&gt;0,(Tablo134[[#This Row],[ADET]]*Tablo134[[#This Row],[SATIŞ]]-1.5),0)</f>
        <v>0</v>
      </c>
    </row>
    <row r="25" spans="2:8" ht="21" customHeight="1" x14ac:dyDescent="0.3">
      <c r="B25" s="13"/>
      <c r="F25" s="17" t="str">
        <f>IF(Tablo134[[#This Row],[SATIŞ]]=0,"Açık",(E25-D25)*C25-3)</f>
        <v>Açık</v>
      </c>
      <c r="G25" s="15">
        <f>IF(Tablo134[[#This Row],[ALIŞ]]&gt;0,Tablo134[[#This Row],[ADET]]*Tablo134[[#This Row],[ALIŞ]]+1.5,0)</f>
        <v>0</v>
      </c>
      <c r="H25" s="15">
        <f>IF(Tablo134[[#This Row],[SATIŞ]]&gt;0,(Tablo134[[#This Row],[ADET]]*Tablo134[[#This Row],[SATIŞ]]-1.5),0)</f>
        <v>0</v>
      </c>
    </row>
    <row r="26" spans="2:8" ht="21" customHeight="1" x14ac:dyDescent="0.3">
      <c r="B26" s="13"/>
      <c r="F26" s="17" t="str">
        <f>IF(Tablo134[[#This Row],[SATIŞ]]=0,"Açık",(E26-D26)*C26-3)</f>
        <v>Açık</v>
      </c>
      <c r="G26" s="15">
        <f>IF(Tablo134[[#This Row],[ALIŞ]]&gt;0,Tablo134[[#This Row],[ADET]]*Tablo134[[#This Row],[ALIŞ]]+1.5,0)</f>
        <v>0</v>
      </c>
      <c r="H26" s="15">
        <f>IF(Tablo134[[#This Row],[SATIŞ]]&gt;0,(Tablo134[[#This Row],[ADET]]*Tablo134[[#This Row],[SATIŞ]]-1.5),0)</f>
        <v>0</v>
      </c>
    </row>
    <row r="27" spans="2:8" ht="21" customHeight="1" x14ac:dyDescent="0.3">
      <c r="B27" s="13"/>
      <c r="F27" s="17" t="str">
        <f>IF(Tablo134[[#This Row],[SATIŞ]]=0,"Açık",(E27-D27)*C27-3)</f>
        <v>Açık</v>
      </c>
      <c r="G27" s="15">
        <f>IF(Tablo134[[#This Row],[ALIŞ]]&gt;0,Tablo134[[#This Row],[ADET]]*Tablo134[[#This Row],[ALIŞ]]+1.5,0)</f>
        <v>0</v>
      </c>
      <c r="H27" s="15">
        <f>IF(Tablo134[[#This Row],[SATIŞ]]&gt;0,(Tablo134[[#This Row],[ADET]]*Tablo134[[#This Row],[SATIŞ]]-1.5),0)</f>
        <v>0</v>
      </c>
    </row>
  </sheetData>
  <conditionalFormatting sqref="B4:E4 B5:F27">
    <cfRule type="expression" dxfId="167" priority="4">
      <formula>$F4&lt;0</formula>
    </cfRule>
    <cfRule type="expression" dxfId="166" priority="5">
      <formula>$F4="Açık"</formula>
    </cfRule>
    <cfRule type="expression" dxfId="165" priority="6">
      <formula>$F4&gt;0</formula>
    </cfRule>
  </conditionalFormatting>
  <conditionalFormatting sqref="F4">
    <cfRule type="expression" dxfId="164" priority="1">
      <formula>$F4&lt;0</formula>
    </cfRule>
    <cfRule type="expression" dxfId="163" priority="2">
      <formula>$F4="Açık"</formula>
    </cfRule>
    <cfRule type="expression" dxfId="162" priority="3">
      <formula>$F4&gt;0</formula>
    </cfRule>
  </conditionalFormatting>
  <hyperlinks>
    <hyperlink ref="B1" location="İcmal!A1" display="ANA SAYFA" xr:uid="{B50BEC6C-C9B9-4FFB-8D51-BEA39768DB24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FD3D-C78B-4503-9214-5D57ABB9A8D3}">
  <dimension ref="B1:R33"/>
  <sheetViews>
    <sheetView topLeftCell="A11" workbookViewId="0">
      <selection activeCell="E14" sqref="E14"/>
    </sheetView>
  </sheetViews>
  <sheetFormatPr defaultRowHeight="14.4" x14ac:dyDescent="0.3"/>
  <cols>
    <col min="2" max="2" width="20.6640625" style="11" customWidth="1"/>
    <col min="3" max="3" width="11.33203125" style="19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18">
        <f>SUMIF(Tablo13426272829303135[KAR],"Açık",Tablo13426272829303135[ADET])</f>
        <v>5</v>
      </c>
      <c r="D1" s="16">
        <f>+İcmal!E13</f>
        <v>216.77</v>
      </c>
      <c r="E1" s="16">
        <f>C1*D1</f>
        <v>1083.8500000000001</v>
      </c>
      <c r="F1" s="16">
        <f>IFERROR(((SUM(Tablo13426272829303135[ALIŞ TUTAR])-SUM(Tablo13426272829303135[SATIŞ TUTAR]))/C1),"")</f>
        <v>-161.41374999999971</v>
      </c>
      <c r="G1" s="3">
        <f>IF(M3=0,L3,C1*(D1-F1))</f>
        <v>1890.9187499999985</v>
      </c>
      <c r="J1" s="4">
        <v>0.02</v>
      </c>
      <c r="L1" s="5">
        <f>M1*(1-$J$1)</f>
        <v>-158.18547499999971</v>
      </c>
      <c r="M1" s="6">
        <f>F1</f>
        <v>-161.41374999999971</v>
      </c>
      <c r="N1" s="5">
        <f>M1*(1+$J$1)</f>
        <v>-164.64202499999971</v>
      </c>
      <c r="P1" s="5">
        <f>Q1*(1-$J$1)</f>
        <v>212.43460000000002</v>
      </c>
      <c r="Q1" s="6">
        <f>+D1</f>
        <v>216.77</v>
      </c>
      <c r="R1" s="5">
        <f>Q1*(1+$J$1)</f>
        <v>221.1054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19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SUM(Tablo13426272829303135[KAR])</f>
        <v>2058.5687500000004</v>
      </c>
      <c r="M3" s="12">
        <f>C1</f>
        <v>5</v>
      </c>
    </row>
    <row r="4" spans="2:18" ht="21" customHeight="1" x14ac:dyDescent="0.3">
      <c r="B4" s="13">
        <v>45328</v>
      </c>
      <c r="C4" s="19">
        <v>4</v>
      </c>
      <c r="D4" s="16">
        <v>118.02</v>
      </c>
      <c r="E4" s="16">
        <v>122</v>
      </c>
      <c r="F4" s="17">
        <f>IF(Tablo13426272829303135[[#This Row],[SATIŞ]]=0,"Açık",(E4-D4)*C4-3)</f>
        <v>12.920000000000016</v>
      </c>
      <c r="G4" s="15">
        <f>IF(Tablo13426272829303135[[#This Row],[ALIŞ]]&gt;0,Tablo13426272829303135[[#This Row],[ADET]]*Tablo13426272829303135[[#This Row],[ALIŞ]]+1.5,0)</f>
        <v>473.58</v>
      </c>
      <c r="H4" s="15">
        <f>IF(Tablo13426272829303135[[#This Row],[SATIŞ]]&gt;0,(Tablo13426272829303135[[#This Row],[ADET]]*Tablo13426272829303135[[#This Row],[SATIŞ]]-1.5),0)</f>
        <v>486.5</v>
      </c>
      <c r="L4" s="5"/>
      <c r="M4" s="5"/>
      <c r="N4" s="5"/>
    </row>
    <row r="5" spans="2:18" ht="21" customHeight="1" x14ac:dyDescent="0.3">
      <c r="B5" s="13">
        <v>45328</v>
      </c>
      <c r="C5" s="19">
        <v>2</v>
      </c>
      <c r="D5" s="16">
        <v>118.02</v>
      </c>
      <c r="E5" s="16">
        <v>125</v>
      </c>
      <c r="F5" s="17">
        <f>IF(Tablo13426272829303135[[#This Row],[SATIŞ]]=0,"Açık",(E5-D5)*C5-3)</f>
        <v>10.960000000000008</v>
      </c>
      <c r="G5" s="15">
        <f>IF(Tablo13426272829303135[[#This Row],[ALIŞ]]&gt;0,Tablo13426272829303135[[#This Row],[ADET]]*Tablo13426272829303135[[#This Row],[ALIŞ]]+1.5,0)</f>
        <v>237.54</v>
      </c>
      <c r="H5" s="15">
        <f>IF(Tablo13426272829303135[[#This Row],[SATIŞ]]&gt;0,(Tablo13426272829303135[[#This Row],[ADET]]*Tablo13426272829303135[[#This Row],[SATIŞ]]-1.5),0)</f>
        <v>248.5</v>
      </c>
    </row>
    <row r="6" spans="2:18" ht="21" customHeight="1" x14ac:dyDescent="0.3">
      <c r="B6" s="13">
        <v>45328</v>
      </c>
      <c r="C6" s="19">
        <v>2</v>
      </c>
      <c r="D6" s="16">
        <v>118.02</v>
      </c>
      <c r="E6" s="16">
        <v>170</v>
      </c>
      <c r="F6" s="17">
        <f>IF(Tablo13426272829303135[[#This Row],[SATIŞ]]=0,"Açık",(E6-D6)*C6-3)</f>
        <v>100.96000000000001</v>
      </c>
      <c r="G6" s="15">
        <f>IF(Tablo13426272829303135[[#This Row],[ALIŞ]]&gt;0,Tablo13426272829303135[[#This Row],[ADET]]*Tablo13426272829303135[[#This Row],[ALIŞ]]+1.5,0)</f>
        <v>237.54</v>
      </c>
      <c r="H6" s="15">
        <f>IF(Tablo13426272829303135[[#This Row],[SATIŞ]]&gt;0,(Tablo13426272829303135[[#This Row],[ADET]]*Tablo13426272829303135[[#This Row],[SATIŞ]]-1.5),0)</f>
        <v>338.5</v>
      </c>
    </row>
    <row r="7" spans="2:18" ht="21" customHeight="1" x14ac:dyDescent="0.3">
      <c r="B7" s="13">
        <v>45342</v>
      </c>
      <c r="C7" s="19">
        <v>9</v>
      </c>
      <c r="D7" s="16">
        <v>167.03</v>
      </c>
      <c r="E7" s="16">
        <v>170</v>
      </c>
      <c r="F7" s="17">
        <f>IF(Tablo13426272829303135[[#This Row],[SATIŞ]]=0,"Açık",(E7-D7)*C7-3)</f>
        <v>23.72999999999999</v>
      </c>
      <c r="G7" s="15">
        <f>IF(Tablo13426272829303135[[#This Row],[ALIŞ]]&gt;0,Tablo13426272829303135[[#This Row],[ADET]]*Tablo13426272829303135[[#This Row],[ALIŞ]]+1.5,0)</f>
        <v>1504.77</v>
      </c>
      <c r="H7" s="15">
        <f>IF(Tablo13426272829303135[[#This Row],[SATIŞ]]&gt;0,(Tablo13426272829303135[[#This Row],[ADET]]*Tablo13426272829303135[[#This Row],[SATIŞ]]-1.5),0)</f>
        <v>1528.5</v>
      </c>
    </row>
    <row r="8" spans="2:18" ht="21" customHeight="1" x14ac:dyDescent="0.3">
      <c r="B8" s="13">
        <v>45342</v>
      </c>
      <c r="C8" s="19">
        <v>5</v>
      </c>
      <c r="D8" s="16">
        <v>167.03</v>
      </c>
      <c r="E8" s="16">
        <v>170</v>
      </c>
      <c r="F8" s="17">
        <f>IF(Tablo13426272829303135[[#This Row],[SATIŞ]]=0,"Açık",(E8-D8)*C8-3)</f>
        <v>11.849999999999994</v>
      </c>
      <c r="G8" s="15">
        <f>IF(Tablo13426272829303135[[#This Row],[ALIŞ]]&gt;0,Tablo13426272829303135[[#This Row],[ADET]]*Tablo13426272829303135[[#This Row],[ALIŞ]]+1.5,0)</f>
        <v>836.65</v>
      </c>
      <c r="H8" s="15">
        <f>IF(Tablo13426272829303135[[#This Row],[SATIŞ]]&gt;0,(Tablo13426272829303135[[#This Row],[ADET]]*Tablo13426272829303135[[#This Row],[SATIŞ]]-1.5),0)</f>
        <v>848.5</v>
      </c>
    </row>
    <row r="9" spans="2:18" ht="21" customHeight="1" x14ac:dyDescent="0.3">
      <c r="B9" s="13">
        <v>45342</v>
      </c>
      <c r="C9" s="19">
        <v>6</v>
      </c>
      <c r="D9" s="16">
        <v>167.03</v>
      </c>
      <c r="E9" s="16">
        <v>179.96</v>
      </c>
      <c r="F9" s="17">
        <f>IF(Tablo13426272829303135[[#This Row],[SATIŞ]]=0,"Açık",(E9-D9)*C9-3)</f>
        <v>74.580000000000041</v>
      </c>
      <c r="G9" s="15">
        <f>IF(Tablo13426272829303135[[#This Row],[ALIŞ]]&gt;0,Tablo13426272829303135[[#This Row],[ADET]]*Tablo13426272829303135[[#This Row],[ALIŞ]]+1.5,0)</f>
        <v>1003.6800000000001</v>
      </c>
      <c r="H9" s="15">
        <f>IF(Tablo13426272829303135[[#This Row],[SATIŞ]]&gt;0,(Tablo13426272829303135[[#This Row],[ADET]]*Tablo13426272829303135[[#This Row],[SATIŞ]]-1.5),0)</f>
        <v>1078.26</v>
      </c>
    </row>
    <row r="10" spans="2:18" ht="21" customHeight="1" x14ac:dyDescent="0.3">
      <c r="B10" s="13">
        <v>45343</v>
      </c>
      <c r="C10" s="19">
        <v>11.625</v>
      </c>
      <c r="D10" s="16">
        <v>167</v>
      </c>
      <c r="E10" s="16">
        <v>184.8</v>
      </c>
      <c r="F10" s="17">
        <f>IF(Tablo13426272829303135[[#This Row],[SATIŞ]]=0,"Açık",(E10-D10)*C10-3)</f>
        <v>203.92500000000013</v>
      </c>
      <c r="G10" s="15">
        <f>IF(Tablo13426272829303135[[#This Row],[ALIŞ]]&gt;0,Tablo13426272829303135[[#This Row],[ADET]]*Tablo13426272829303135[[#This Row],[ALIŞ]]+1.5,0)</f>
        <v>1942.875</v>
      </c>
      <c r="H10" s="15">
        <f>IF(Tablo13426272829303135[[#This Row],[SATIŞ]]&gt;0,(Tablo13426272829303135[[#This Row],[ADET]]*Tablo13426272829303135[[#This Row],[SATIŞ]]-1.5),0)</f>
        <v>2146.8000000000002</v>
      </c>
    </row>
    <row r="11" spans="2:18" ht="21" customHeight="1" x14ac:dyDescent="0.3">
      <c r="B11" s="13">
        <v>45343</v>
      </c>
      <c r="C11" s="19">
        <v>1.75</v>
      </c>
      <c r="D11" s="16">
        <v>167</v>
      </c>
      <c r="E11" s="16">
        <v>205</v>
      </c>
      <c r="F11" s="17">
        <f>IF(Tablo13426272829303135[[#This Row],[SATIŞ]]=0,"Açık",(E11-D11)*C11-3)</f>
        <v>63.5</v>
      </c>
      <c r="G11" s="15">
        <f>IF(Tablo13426272829303135[[#This Row],[ALIŞ]]&gt;0,Tablo13426272829303135[[#This Row],[ADET]]*Tablo13426272829303135[[#This Row],[ALIŞ]]+1.5,0)</f>
        <v>293.75</v>
      </c>
      <c r="H11" s="15">
        <f>IF(Tablo13426272829303135[[#This Row],[SATIŞ]]&gt;0,(Tablo13426272829303135[[#This Row],[ADET]]*Tablo13426272829303135[[#This Row],[SATIŞ]]-1.5),0)</f>
        <v>357.25</v>
      </c>
    </row>
    <row r="12" spans="2:18" ht="21" customHeight="1" x14ac:dyDescent="0.3">
      <c r="B12" s="13">
        <v>45343</v>
      </c>
      <c r="C12" s="19">
        <v>5</v>
      </c>
      <c r="D12" s="16">
        <v>167</v>
      </c>
      <c r="E12" s="16">
        <v>210</v>
      </c>
      <c r="F12" s="17">
        <f>IF(Tablo13426272829303135[[#This Row],[SATIŞ]]=0,"Açık",(E12-D12)*C12-3)</f>
        <v>212</v>
      </c>
      <c r="G12" s="15">
        <f>IF(Tablo13426272829303135[[#This Row],[ALIŞ]]&gt;0,Tablo13426272829303135[[#This Row],[ADET]]*Tablo13426272829303135[[#This Row],[ALIŞ]]+1.5,0)</f>
        <v>836.5</v>
      </c>
      <c r="H12" s="15">
        <f>IF(Tablo13426272829303135[[#This Row],[SATIŞ]]&gt;0,(Tablo13426272829303135[[#This Row],[ADET]]*Tablo13426272829303135[[#This Row],[SATIŞ]]-1.5),0)</f>
        <v>1048.5</v>
      </c>
    </row>
    <row r="13" spans="2:18" ht="21" customHeight="1" x14ac:dyDescent="0.3">
      <c r="B13" s="13">
        <v>45343</v>
      </c>
      <c r="C13" s="19">
        <v>1.625</v>
      </c>
      <c r="D13" s="16">
        <v>167</v>
      </c>
      <c r="E13" s="16">
        <v>258.67</v>
      </c>
      <c r="F13" s="17">
        <f>IF(Tablo13426272829303135[[#This Row],[SATIŞ]]=0,"Açık",(E13-D13)*C13-3)</f>
        <v>145.96375000000003</v>
      </c>
      <c r="G13" s="15">
        <f>IF(Tablo13426272829303135[[#This Row],[ALIŞ]]&gt;0,Tablo13426272829303135[[#This Row],[ADET]]*Tablo13426272829303135[[#This Row],[ALIŞ]]+1.5,0)</f>
        <v>272.875</v>
      </c>
      <c r="H13" s="15">
        <f>IF(Tablo13426272829303135[[#This Row],[SATIŞ]]&gt;0,(Tablo13426272829303135[[#This Row],[ADET]]*Tablo13426272829303135[[#This Row],[SATIŞ]]-1.5),0)</f>
        <v>418.83875</v>
      </c>
    </row>
    <row r="14" spans="2:18" ht="21" customHeight="1" x14ac:dyDescent="0.3">
      <c r="B14" s="13">
        <v>45345</v>
      </c>
      <c r="C14" s="19">
        <v>1.75</v>
      </c>
      <c r="D14" s="16">
        <v>168</v>
      </c>
      <c r="E14" s="16">
        <v>179.96</v>
      </c>
      <c r="F14" s="17">
        <f>IF(Tablo13426272829303135[[#This Row],[SATIŞ]]=0,"Açık",(E14-D14)*C14-3)</f>
        <v>17.930000000000014</v>
      </c>
      <c r="G14" s="15">
        <f>IF(Tablo13426272829303135[[#This Row],[ALIŞ]]&gt;0,Tablo13426272829303135[[#This Row],[ADET]]*Tablo13426272829303135[[#This Row],[ALIŞ]]+1.5,0)</f>
        <v>295.5</v>
      </c>
      <c r="H14" s="15">
        <f>IF(Tablo13426272829303135[[#This Row],[SATIŞ]]&gt;0,(Tablo13426272829303135[[#This Row],[ADET]]*Tablo13426272829303135[[#This Row],[SATIŞ]]-1.5),0)</f>
        <v>313.43</v>
      </c>
    </row>
    <row r="15" spans="2:18" ht="21" customHeight="1" x14ac:dyDescent="0.3">
      <c r="B15" s="13">
        <v>45345</v>
      </c>
      <c r="C15" s="19">
        <f>5-1.75</f>
        <v>3.25</v>
      </c>
      <c r="D15" s="16">
        <v>168</v>
      </c>
      <c r="E15" s="16">
        <v>205</v>
      </c>
      <c r="F15" s="17">
        <f>IF(Tablo13426272829303135[[#This Row],[SATIŞ]]=0,"Açık",(E15-D15)*C15-3)</f>
        <v>117.25</v>
      </c>
      <c r="G15" s="15">
        <f>IF(Tablo13426272829303135[[#This Row],[ALIŞ]]&gt;0,Tablo13426272829303135[[#This Row],[ADET]]*Tablo13426272829303135[[#This Row],[ALIŞ]]+1.5,0)</f>
        <v>547.5</v>
      </c>
      <c r="H15" s="15">
        <f>IF(Tablo13426272829303135[[#This Row],[SATIŞ]]&gt;0,(Tablo13426272829303135[[#This Row],[ADET]]*Tablo13426272829303135[[#This Row],[SATIŞ]]-1.5),0)</f>
        <v>664.75</v>
      </c>
    </row>
    <row r="16" spans="2:18" ht="21" customHeight="1" x14ac:dyDescent="0.3">
      <c r="B16" s="13">
        <v>45345</v>
      </c>
      <c r="C16" s="19">
        <v>10</v>
      </c>
      <c r="D16" s="16">
        <v>165</v>
      </c>
      <c r="E16" s="16">
        <v>167</v>
      </c>
      <c r="F16" s="17">
        <f>IF(Tablo13426272829303135[[#This Row],[SATIŞ]]=0,"Açık",(E16-D16)*C16-3)</f>
        <v>17</v>
      </c>
      <c r="G16" s="15">
        <f>IF(Tablo13426272829303135[[#This Row],[ALIŞ]]&gt;0,Tablo13426272829303135[[#This Row],[ADET]]*Tablo13426272829303135[[#This Row],[ALIŞ]]+1.5,0)</f>
        <v>1651.5</v>
      </c>
      <c r="H16" s="15">
        <f>IF(Tablo13426272829303135[[#This Row],[SATIŞ]]&gt;0,(Tablo13426272829303135[[#This Row],[ADET]]*Tablo13426272829303135[[#This Row],[SATIŞ]]-1.5),0)</f>
        <v>1668.5</v>
      </c>
      <c r="J16">
        <f>+Tablo13426272829303135[[#This Row],[ALIŞ]]*1.02</f>
        <v>168.3</v>
      </c>
    </row>
    <row r="17" spans="2:8" ht="21" customHeight="1" x14ac:dyDescent="0.3">
      <c r="B17" s="13">
        <v>45345</v>
      </c>
      <c r="C17" s="19">
        <v>15</v>
      </c>
      <c r="D17" s="16">
        <v>162</v>
      </c>
      <c r="E17" s="16">
        <v>165</v>
      </c>
      <c r="F17" s="17">
        <f>IF(Tablo13426272829303135[[#This Row],[SATIŞ]]=0,"Açık",(E17-D17)*C17-3)</f>
        <v>42</v>
      </c>
      <c r="G17" s="15">
        <f>IF(Tablo13426272829303135[[#This Row],[ALIŞ]]&gt;0,Tablo13426272829303135[[#This Row],[ADET]]*Tablo13426272829303135[[#This Row],[ALIŞ]]+1.5,0)</f>
        <v>2431.5</v>
      </c>
      <c r="H17" s="15">
        <f>IF(Tablo13426272829303135[[#This Row],[SATIŞ]]&gt;0,(Tablo13426272829303135[[#This Row],[ADET]]*Tablo13426272829303135[[#This Row],[SATIŞ]]-1.5),0)</f>
        <v>2473.5</v>
      </c>
    </row>
    <row r="18" spans="2:8" ht="21" customHeight="1" x14ac:dyDescent="0.3">
      <c r="B18" s="13">
        <v>45349</v>
      </c>
      <c r="C18" s="19">
        <v>10</v>
      </c>
      <c r="D18" s="16">
        <v>200</v>
      </c>
      <c r="E18" s="16">
        <v>210</v>
      </c>
      <c r="F18" s="17">
        <f>IF(Tablo13426272829303135[[#This Row],[SATIŞ]]=0,"Açık",(E18-D18)*C18-3)</f>
        <v>97</v>
      </c>
      <c r="G18" s="15">
        <f>IF(Tablo13426272829303135[[#This Row],[ALIŞ]]&gt;0,Tablo13426272829303135[[#This Row],[ADET]]*Tablo13426272829303135[[#This Row],[ALIŞ]]+1.5,0)</f>
        <v>2001.5</v>
      </c>
      <c r="H18" s="15">
        <f>IF(Tablo13426272829303135[[#This Row],[SATIŞ]]&gt;0,(Tablo13426272829303135[[#This Row],[ADET]]*Tablo13426272829303135[[#This Row],[SATIŞ]]-1.5),0)</f>
        <v>2098.5</v>
      </c>
    </row>
    <row r="19" spans="2:8" ht="21" customHeight="1" x14ac:dyDescent="0.3">
      <c r="B19" s="13">
        <v>45349</v>
      </c>
      <c r="C19" s="19">
        <v>5</v>
      </c>
      <c r="D19" s="16">
        <v>200</v>
      </c>
      <c r="E19" s="16">
        <v>225</v>
      </c>
      <c r="F19" s="17">
        <f>IF(Tablo13426272829303135[[#This Row],[SATIŞ]]=0,"Açık",(E19-D19)*C19-3)</f>
        <v>122</v>
      </c>
      <c r="G19" s="15">
        <f>IF(Tablo13426272829303135[[#This Row],[ALIŞ]]&gt;0,Tablo13426272829303135[[#This Row],[ADET]]*Tablo13426272829303135[[#This Row],[ALIŞ]]+1.5,0)</f>
        <v>1001.5</v>
      </c>
      <c r="H19" s="15">
        <f>IF(Tablo13426272829303135[[#This Row],[SATIŞ]]&gt;0,(Tablo13426272829303135[[#This Row],[ADET]]*Tablo13426272829303135[[#This Row],[SATIŞ]]-1.5),0)</f>
        <v>1123.5</v>
      </c>
    </row>
    <row r="20" spans="2:8" ht="21" customHeight="1" x14ac:dyDescent="0.3">
      <c r="B20" s="13">
        <v>45349</v>
      </c>
      <c r="C20" s="19">
        <v>5</v>
      </c>
      <c r="D20" s="16">
        <v>200</v>
      </c>
      <c r="E20" s="16">
        <v>230</v>
      </c>
      <c r="F20" s="17">
        <f>IF(Tablo13426272829303135[[#This Row],[SATIŞ]]=0,"Açık",(E20-D20)*C20-3)</f>
        <v>147</v>
      </c>
      <c r="G20" s="15">
        <f>IF(Tablo13426272829303135[[#This Row],[ALIŞ]]&gt;0,Tablo13426272829303135[[#This Row],[ADET]]*Tablo13426272829303135[[#This Row],[ALIŞ]]+1.5,0)</f>
        <v>1001.5</v>
      </c>
      <c r="H20" s="15">
        <f>IF(Tablo13426272829303135[[#This Row],[SATIŞ]]&gt;0,(Tablo13426272829303135[[#This Row],[ADET]]*Tablo13426272829303135[[#This Row],[SATIŞ]]-1.5),0)</f>
        <v>1148.5</v>
      </c>
    </row>
    <row r="21" spans="2:8" ht="21" customHeight="1" x14ac:dyDescent="0.3">
      <c r="B21" s="13">
        <v>45350</v>
      </c>
      <c r="C21" s="19">
        <v>5</v>
      </c>
      <c r="D21" s="16">
        <v>200</v>
      </c>
      <c r="E21" s="16">
        <v>245</v>
      </c>
      <c r="F21" s="17">
        <f>IF(Tablo13426272829303135[[#This Row],[SATIŞ]]=0,"Açık",(E21-D21)*C21-3)</f>
        <v>222</v>
      </c>
      <c r="G21" s="15">
        <f>IF(Tablo13426272829303135[[#This Row],[ALIŞ]]&gt;0,Tablo13426272829303135[[#This Row],[ADET]]*Tablo13426272829303135[[#This Row],[ALIŞ]]+1.5,0)</f>
        <v>1001.5</v>
      </c>
      <c r="H21" s="15">
        <f>IF(Tablo13426272829303135[[#This Row],[SATIŞ]]&gt;0,(Tablo13426272829303135[[#This Row],[ADET]]*Tablo13426272829303135[[#This Row],[SATIŞ]]-1.5),0)</f>
        <v>1223.5</v>
      </c>
    </row>
    <row r="22" spans="2:8" ht="21" customHeight="1" x14ac:dyDescent="0.3">
      <c r="B22" s="13">
        <v>45350</v>
      </c>
      <c r="C22" s="19">
        <v>5</v>
      </c>
      <c r="D22" s="16">
        <v>200</v>
      </c>
      <c r="E22" s="16">
        <v>260</v>
      </c>
      <c r="F22" s="17">
        <f>IF(Tablo13426272829303135[[#This Row],[SATIŞ]]=0,"Açık",(E22-D22)*C22-3)</f>
        <v>297</v>
      </c>
      <c r="G22" s="15">
        <f>IF(Tablo13426272829303135[[#This Row],[ALIŞ]]&gt;0,Tablo13426272829303135[[#This Row],[ADET]]*Tablo13426272829303135[[#This Row],[ALIŞ]]+1.5,0)</f>
        <v>1001.5</v>
      </c>
      <c r="H22" s="15">
        <f>IF(Tablo13426272829303135[[#This Row],[SATIŞ]]&gt;0,(Tablo13426272829303135[[#This Row],[ADET]]*Tablo13426272829303135[[#This Row],[SATIŞ]]-1.5),0)</f>
        <v>1298.5</v>
      </c>
    </row>
    <row r="23" spans="2:8" ht="21" customHeight="1" x14ac:dyDescent="0.3">
      <c r="B23" s="13">
        <v>45356</v>
      </c>
      <c r="C23" s="19">
        <v>5</v>
      </c>
      <c r="D23" s="16">
        <v>220</v>
      </c>
      <c r="E23" s="16">
        <v>235</v>
      </c>
      <c r="F23" s="17">
        <f>IF(Tablo13426272829303135[[#This Row],[SATIŞ]]=0,"Açık",(E23-D23)*C23-3)</f>
        <v>72</v>
      </c>
      <c r="G23" s="15">
        <f>IF(Tablo13426272829303135[[#This Row],[ALIŞ]]&gt;0,Tablo13426272829303135[[#This Row],[ADET]]*Tablo13426272829303135[[#This Row],[ALIŞ]]+1.5,0)</f>
        <v>1101.5</v>
      </c>
      <c r="H23" s="15">
        <f>IF(Tablo13426272829303135[[#This Row],[SATIŞ]]&gt;0,(Tablo13426272829303135[[#This Row],[ADET]]*Tablo13426272829303135[[#This Row],[SATIŞ]]-1.5),0)</f>
        <v>1173.5</v>
      </c>
    </row>
    <row r="24" spans="2:8" ht="21" customHeight="1" x14ac:dyDescent="0.3">
      <c r="B24" s="13">
        <v>45357</v>
      </c>
      <c r="C24" s="19">
        <v>5</v>
      </c>
      <c r="D24" s="16">
        <v>225</v>
      </c>
      <c r="E24" s="16">
        <v>235</v>
      </c>
      <c r="F24" s="17">
        <f>IF(Tablo13426272829303135[[#This Row],[SATIŞ]]=0,"Açık",(E24-D24)*C24-3)</f>
        <v>47</v>
      </c>
      <c r="G24" s="15">
        <f>IF(Tablo13426272829303135[[#This Row],[ALIŞ]]&gt;0,Tablo13426272829303135[[#This Row],[ADET]]*Tablo13426272829303135[[#This Row],[ALIŞ]]+1.5,0)</f>
        <v>1126.5</v>
      </c>
      <c r="H24" s="15">
        <f>IF(Tablo13426272829303135[[#This Row],[SATIŞ]]&gt;0,(Tablo13426272829303135[[#This Row],[ADET]]*Tablo13426272829303135[[#This Row],[SATIŞ]]-1.5),0)</f>
        <v>1173.5</v>
      </c>
    </row>
    <row r="25" spans="2:8" ht="21" customHeight="1" x14ac:dyDescent="0.3">
      <c r="B25" s="13">
        <v>45359</v>
      </c>
      <c r="C25" s="19">
        <v>5</v>
      </c>
      <c r="D25" s="16">
        <v>250</v>
      </c>
      <c r="F25" s="17" t="str">
        <f>IF(Tablo13426272829303135[[#This Row],[SATIŞ]]=0,"Açık",(E25-D25)*C25-3)</f>
        <v>Açık</v>
      </c>
      <c r="G25" s="15">
        <f>IF(Tablo13426272829303135[[#This Row],[ALIŞ]]&gt;0,Tablo13426272829303135[[#This Row],[ADET]]*Tablo13426272829303135[[#This Row],[ALIŞ]]+1.5,0)</f>
        <v>1251.5</v>
      </c>
      <c r="H25" s="15">
        <f>IF(Tablo13426272829303135[[#This Row],[SATIŞ]]&gt;0,(Tablo13426272829303135[[#This Row],[ADET]]*Tablo13426272829303135[[#This Row],[SATIŞ]]-1.5),0)</f>
        <v>0</v>
      </c>
    </row>
    <row r="26" spans="2:8" ht="21" customHeight="1" x14ac:dyDescent="0.3">
      <c r="B26" s="13"/>
      <c r="F26" s="17" t="str">
        <f>IF(Tablo13426272829303135[[#This Row],[SATIŞ]]=0,"Açık",(E26-D26)*C26-3)</f>
        <v>Açık</v>
      </c>
      <c r="G26" s="15">
        <f>IF(Tablo13426272829303135[[#This Row],[ALIŞ]]&gt;0,Tablo13426272829303135[[#This Row],[ADET]]*Tablo13426272829303135[[#This Row],[ALIŞ]]+1.5,0)</f>
        <v>0</v>
      </c>
      <c r="H26" s="15">
        <f>IF(Tablo13426272829303135[[#This Row],[SATIŞ]]&gt;0,(Tablo13426272829303135[[#This Row],[ADET]]*Tablo13426272829303135[[#This Row],[SATIŞ]]-1.5),0)</f>
        <v>0</v>
      </c>
    </row>
    <row r="27" spans="2:8" ht="21" customHeight="1" x14ac:dyDescent="0.3">
      <c r="B27" s="13"/>
      <c r="F27" s="17" t="str">
        <f>IF(Tablo13426272829303135[[#This Row],[SATIŞ]]=0,"Açık",(E27-D27)*C27-3)</f>
        <v>Açık</v>
      </c>
      <c r="G27" s="15">
        <f>IF(Tablo13426272829303135[[#This Row],[ALIŞ]]&gt;0,Tablo13426272829303135[[#This Row],[ADET]]*Tablo13426272829303135[[#This Row],[ALIŞ]]+1.5,0)</f>
        <v>0</v>
      </c>
      <c r="H27" s="15">
        <f>IF(Tablo13426272829303135[[#This Row],[SATIŞ]]&gt;0,(Tablo13426272829303135[[#This Row],[ADET]]*Tablo13426272829303135[[#This Row],[SATIŞ]]-1.5),0)</f>
        <v>0</v>
      </c>
    </row>
    <row r="28" spans="2:8" ht="21" customHeight="1" x14ac:dyDescent="0.3">
      <c r="B28" s="13"/>
      <c r="F28" s="17" t="str">
        <f>IF(Tablo13426272829303135[[#This Row],[SATIŞ]]=0,"Açık",(E28-D28)*C28-3)</f>
        <v>Açık</v>
      </c>
      <c r="G28" s="15">
        <f>IF(Tablo13426272829303135[[#This Row],[ALIŞ]]&gt;0,Tablo13426272829303135[[#This Row],[ADET]]*Tablo13426272829303135[[#This Row],[ALIŞ]]+1.5,0)</f>
        <v>0</v>
      </c>
      <c r="H28" s="15">
        <f>IF(Tablo13426272829303135[[#This Row],[SATIŞ]]&gt;0,(Tablo13426272829303135[[#This Row],[ADET]]*Tablo13426272829303135[[#This Row],[SATIŞ]]-1.5),0)</f>
        <v>0</v>
      </c>
    </row>
    <row r="29" spans="2:8" ht="21" customHeight="1" x14ac:dyDescent="0.3">
      <c r="B29" s="13"/>
      <c r="F29" s="17" t="str">
        <f>IF(Tablo13426272829303135[[#This Row],[SATIŞ]]=0,"Açık",(E29-D29)*C29-3)</f>
        <v>Açık</v>
      </c>
      <c r="G29" s="15">
        <f>IF(Tablo13426272829303135[[#This Row],[ALIŞ]]&gt;0,Tablo13426272829303135[[#This Row],[ADET]]*Tablo13426272829303135[[#This Row],[ALIŞ]]+1.5,0)</f>
        <v>0</v>
      </c>
      <c r="H29" s="15">
        <f>IF(Tablo13426272829303135[[#This Row],[SATIŞ]]&gt;0,(Tablo13426272829303135[[#This Row],[ADET]]*Tablo13426272829303135[[#This Row],[SATIŞ]]-1.5),0)</f>
        <v>0</v>
      </c>
    </row>
    <row r="30" spans="2:8" ht="21" customHeight="1" x14ac:dyDescent="0.3">
      <c r="B30" s="13"/>
      <c r="F30" s="17" t="str">
        <f>IF(Tablo13426272829303135[[#This Row],[SATIŞ]]=0,"Açık",(E30-D30)*C30-3)</f>
        <v>Açık</v>
      </c>
      <c r="G30" s="15">
        <f>IF(Tablo13426272829303135[[#This Row],[ALIŞ]]&gt;0,Tablo13426272829303135[[#This Row],[ADET]]*Tablo13426272829303135[[#This Row],[ALIŞ]]+1.5,0)</f>
        <v>0</v>
      </c>
      <c r="H30" s="15">
        <f>IF(Tablo13426272829303135[[#This Row],[SATIŞ]]&gt;0,(Tablo13426272829303135[[#This Row],[ADET]]*Tablo13426272829303135[[#This Row],[SATIŞ]]-1.5),0)</f>
        <v>0</v>
      </c>
    </row>
    <row r="31" spans="2:8" ht="21" customHeight="1" x14ac:dyDescent="0.3">
      <c r="B31" s="13"/>
      <c r="F31" s="17" t="str">
        <f>IF(Tablo13426272829303135[[#This Row],[SATIŞ]]=0,"Açık",(E31-D31)*C31-3)</f>
        <v>Açık</v>
      </c>
      <c r="G31" s="15">
        <f>IF(Tablo13426272829303135[[#This Row],[ALIŞ]]&gt;0,Tablo13426272829303135[[#This Row],[ADET]]*Tablo13426272829303135[[#This Row],[ALIŞ]]+1.5,0)</f>
        <v>0</v>
      </c>
      <c r="H31" s="15">
        <f>IF(Tablo13426272829303135[[#This Row],[SATIŞ]]&gt;0,(Tablo13426272829303135[[#This Row],[ADET]]*Tablo13426272829303135[[#This Row],[SATIŞ]]-1.5),0)</f>
        <v>0</v>
      </c>
    </row>
    <row r="32" spans="2:8" ht="21" customHeight="1" x14ac:dyDescent="0.3">
      <c r="B32" s="13"/>
      <c r="F32" s="17" t="str">
        <f>IF(Tablo13426272829303135[[#This Row],[SATIŞ]]=0,"Açık",(E32-D32)*C32-3)</f>
        <v>Açık</v>
      </c>
      <c r="G32" s="15">
        <f>IF(Tablo13426272829303135[[#This Row],[ALIŞ]]&gt;0,Tablo13426272829303135[[#This Row],[ADET]]*Tablo13426272829303135[[#This Row],[ALIŞ]]+1.5,0)</f>
        <v>0</v>
      </c>
      <c r="H32" s="15">
        <f>IF(Tablo13426272829303135[[#This Row],[SATIŞ]]&gt;0,(Tablo13426272829303135[[#This Row],[ADET]]*Tablo13426272829303135[[#This Row],[SATIŞ]]-1.5),0)</f>
        <v>0</v>
      </c>
    </row>
    <row r="33" spans="2:8" ht="21" customHeight="1" x14ac:dyDescent="0.3">
      <c r="B33" s="13"/>
      <c r="F33" s="17" t="str">
        <f>IF(Tablo13426272829303135[[#This Row],[SATIŞ]]=0,"Açık",(E33-D33)*C33-3)</f>
        <v>Açık</v>
      </c>
      <c r="G33" s="15">
        <f>IF(Tablo13426272829303135[[#This Row],[ALIŞ]]&gt;0,Tablo13426272829303135[[#This Row],[ADET]]*Tablo13426272829303135[[#This Row],[ALIŞ]]+1.5,0)</f>
        <v>0</v>
      </c>
      <c r="H33" s="15">
        <f>IF(Tablo13426272829303135[[#This Row],[SATIŞ]]&gt;0,(Tablo13426272829303135[[#This Row],[ADET]]*Tablo13426272829303135[[#This Row],[SATIŞ]]-1.5),0)</f>
        <v>0</v>
      </c>
    </row>
  </sheetData>
  <conditionalFormatting sqref="B4:E4 B5:F33">
    <cfRule type="expression" dxfId="161" priority="4">
      <formula>$F4&lt;0</formula>
    </cfRule>
    <cfRule type="expression" dxfId="160" priority="5">
      <formula>$F4="Açık"</formula>
    </cfRule>
    <cfRule type="expression" dxfId="159" priority="6">
      <formula>$F4&gt;0</formula>
    </cfRule>
  </conditionalFormatting>
  <conditionalFormatting sqref="F4">
    <cfRule type="expression" dxfId="158" priority="1">
      <formula>$F4&lt;0</formula>
    </cfRule>
    <cfRule type="expression" dxfId="157" priority="2">
      <formula>$F4="Açık"</formula>
    </cfRule>
    <cfRule type="expression" dxfId="156" priority="3">
      <formula>$F4&gt;0</formula>
    </cfRule>
  </conditionalFormatting>
  <hyperlinks>
    <hyperlink ref="B1" location="İcmal!A1" display="ANA SAYFA" xr:uid="{EC8AA689-5335-4AA2-AE1C-99A2714D0A5F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4DD4-DBC5-4C31-8C3E-708D015ADB45}">
  <dimension ref="B1:R27"/>
  <sheetViews>
    <sheetView workbookViewId="0">
      <selection activeCell="E6" sqref="E6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SUMIF(Tablo13412[KAR],"Açık",Tablo13412[ADET])</f>
        <v>0</v>
      </c>
      <c r="D1" s="3"/>
      <c r="E1" s="3">
        <f>C1*D1</f>
        <v>0</v>
      </c>
      <c r="F1" s="3" t="str">
        <f>IFERROR(((SUM(Tablo13412[ALIŞ TUTAR])-SUM(Tablo13412[SATIŞ TUTAR]))/C1),"")</f>
        <v/>
      </c>
      <c r="G1" s="3">
        <f>IF(M3=0,L3,C1*(D1-F1))</f>
        <v>2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SUM(Tablo13412[KAR])</f>
        <v>2</v>
      </c>
      <c r="M3" s="12">
        <f>C1</f>
        <v>0</v>
      </c>
    </row>
    <row r="4" spans="2:18" ht="21" customHeight="1" x14ac:dyDescent="0.3">
      <c r="B4" s="13">
        <v>44776</v>
      </c>
      <c r="C4" s="8">
        <v>4</v>
      </c>
      <c r="D4" s="3">
        <v>123</v>
      </c>
      <c r="E4" s="3">
        <v>123</v>
      </c>
      <c r="F4" s="14">
        <f>IF(Tablo13412[[#This Row],[SATIŞ]]=0,"Açık",(E4-D4)*C4-3)</f>
        <v>-3</v>
      </c>
      <c r="G4" s="15">
        <f>IF(Tablo13412[[#This Row],[ALIŞ]]&gt;0,Tablo13412[[#This Row],[ADET]]*Tablo13412[[#This Row],[ALIŞ]]+1.5,0)</f>
        <v>493.5</v>
      </c>
      <c r="H4" s="15">
        <f>IF(Tablo13412[[#This Row],[SATIŞ]]&gt;0,(Tablo13412[[#This Row],[ADET]]*Tablo13412[[#This Row],[SATIŞ]]-1.5),0)</f>
        <v>490.5</v>
      </c>
      <c r="L4" s="5"/>
      <c r="M4" s="5"/>
      <c r="N4" s="5"/>
    </row>
    <row r="5" spans="2:18" ht="21" customHeight="1" x14ac:dyDescent="0.3">
      <c r="B5" s="13">
        <v>44776</v>
      </c>
      <c r="C5" s="8">
        <v>4</v>
      </c>
      <c r="D5" s="3">
        <v>121</v>
      </c>
      <c r="E5" s="3">
        <v>123</v>
      </c>
      <c r="F5" s="14">
        <f>IF(Tablo13412[[#This Row],[SATIŞ]]=0,"Açık",(E5-D5)*C5-3)</f>
        <v>5</v>
      </c>
      <c r="G5" s="15">
        <f>IF(Tablo13412[[#This Row],[ALIŞ]]&gt;0,Tablo13412[[#This Row],[ADET]]*Tablo13412[[#This Row],[ALIŞ]]+1.5,0)</f>
        <v>485.5</v>
      </c>
      <c r="H5" s="15">
        <f>IF(Tablo13412[[#This Row],[SATIŞ]]&gt;0,(Tablo13412[[#This Row],[ADET]]*Tablo13412[[#This Row],[SATIŞ]]-1.5),0)</f>
        <v>490.5</v>
      </c>
    </row>
    <row r="6" spans="2:18" ht="21" customHeight="1" x14ac:dyDescent="0.3">
      <c r="B6" s="13"/>
      <c r="D6" s="3"/>
      <c r="E6" s="3"/>
      <c r="F6" s="14" t="str">
        <f>IF(Tablo13412[[#This Row],[SATIŞ]]=0,"Açık",(E6-D6)*C6-3)</f>
        <v>Açık</v>
      </c>
      <c r="G6" s="15">
        <f>IF(Tablo13412[[#This Row],[ALIŞ]]&gt;0,Tablo13412[[#This Row],[ADET]]*Tablo13412[[#This Row],[ALIŞ]]+1.5,0)</f>
        <v>0</v>
      </c>
      <c r="H6" s="15">
        <f>IF(Tablo13412[[#This Row],[SATIŞ]]&gt;0,(Tablo13412[[#This Row],[ADET]]*Tablo13412[[#This Row],[SATIŞ]]-1.5),0)</f>
        <v>0</v>
      </c>
    </row>
    <row r="7" spans="2:18" ht="21" customHeight="1" x14ac:dyDescent="0.3">
      <c r="B7" s="13"/>
      <c r="D7" s="3"/>
      <c r="E7" s="3"/>
      <c r="F7" s="14" t="str">
        <f>IF(Tablo13412[[#This Row],[SATIŞ]]=0,"Açık",(E7-D7)*C7-3)</f>
        <v>Açık</v>
      </c>
      <c r="G7" s="15">
        <f>IF(Tablo13412[[#This Row],[ALIŞ]]&gt;0,Tablo13412[[#This Row],[ADET]]*Tablo13412[[#This Row],[ALIŞ]]+1.5,0)</f>
        <v>0</v>
      </c>
      <c r="H7" s="15">
        <f>IF(Tablo13412[[#This Row],[SATIŞ]]&gt;0,(Tablo13412[[#This Row],[ADET]]*Tablo13412[[#This Row],[SATIŞ]]-1.5),0)</f>
        <v>0</v>
      </c>
    </row>
    <row r="8" spans="2:18" ht="21" customHeight="1" x14ac:dyDescent="0.3">
      <c r="B8" s="13"/>
      <c r="D8" s="3"/>
      <c r="E8" s="3"/>
      <c r="F8" s="14" t="str">
        <f>IF(Tablo13412[[#This Row],[SATIŞ]]=0,"Açık",(E8-D8)*C8-3)</f>
        <v>Açık</v>
      </c>
      <c r="G8" s="15">
        <f>IF(Tablo13412[[#This Row],[ALIŞ]]&gt;0,Tablo13412[[#This Row],[ADET]]*Tablo13412[[#This Row],[ALIŞ]]+1.5,0)</f>
        <v>0</v>
      </c>
      <c r="H8" s="15">
        <f>IF(Tablo13412[[#This Row],[SATIŞ]]&gt;0,(Tablo13412[[#This Row],[ADET]]*Tablo13412[[#This Row],[SATIŞ]]-1.5),0)</f>
        <v>0</v>
      </c>
    </row>
    <row r="9" spans="2:18" ht="21" customHeight="1" x14ac:dyDescent="0.3">
      <c r="B9" s="13"/>
      <c r="D9" s="3"/>
      <c r="E9" s="3"/>
      <c r="F9" s="14" t="str">
        <f>IF(Tablo13412[[#This Row],[SATIŞ]]=0,"Açık",(E9-D9)*C9-3)</f>
        <v>Açık</v>
      </c>
      <c r="G9" s="15">
        <f>IF(Tablo13412[[#This Row],[ALIŞ]]&gt;0,Tablo13412[[#This Row],[ADET]]*Tablo13412[[#This Row],[ALIŞ]]+1.5,0)</f>
        <v>0</v>
      </c>
      <c r="H9" s="15">
        <f>IF(Tablo13412[[#This Row],[SATIŞ]]&gt;0,(Tablo13412[[#This Row],[ADET]]*Tablo13412[[#This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IF(Tablo13412[[#This Row],[SATIŞ]]=0,"Açık",(E10-D10)*C10-3)</f>
        <v>Açık</v>
      </c>
      <c r="G10" s="15">
        <f>IF(Tablo13412[[#This Row],[ALIŞ]]&gt;0,Tablo13412[[#This Row],[ADET]]*Tablo13412[[#This Row],[ALIŞ]]+1.5,0)</f>
        <v>0</v>
      </c>
      <c r="H10" s="15">
        <f>IF(Tablo13412[[#This Row],[SATIŞ]]&gt;0,(Tablo13412[[#This Row],[ADET]]*Tablo13412[[#This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IF(Tablo13412[[#This Row],[SATIŞ]]=0,"Açık",(E11-D11)*C11-3)</f>
        <v>Açık</v>
      </c>
      <c r="G11" s="15">
        <f>IF(Tablo13412[[#This Row],[ALIŞ]]&gt;0,Tablo13412[[#This Row],[ADET]]*Tablo13412[[#This Row],[ALIŞ]]+1.5,0)</f>
        <v>0</v>
      </c>
      <c r="H11" s="15">
        <f>IF(Tablo13412[[#This Row],[SATIŞ]]&gt;0,(Tablo13412[[#This Row],[ADET]]*Tablo13412[[#This Row],[SATIŞ]]-1.5),0)</f>
        <v>0</v>
      </c>
      <c r="J11">
        <f>+Tablo13412[[#This Row],[ALIŞ]]*1.02</f>
        <v>0</v>
      </c>
    </row>
    <row r="12" spans="2:18" ht="21" customHeight="1" x14ac:dyDescent="0.3">
      <c r="B12" s="13"/>
      <c r="D12" s="3"/>
      <c r="E12" s="3"/>
      <c r="F12" s="14" t="str">
        <f>IF(Tablo13412[[#This Row],[SATIŞ]]=0,"Açık",(E12-D12)*C12-3)</f>
        <v>Açık</v>
      </c>
      <c r="G12" s="15">
        <f>IF(Tablo13412[[#This Row],[ALIŞ]]&gt;0,Tablo13412[[#This Row],[ADET]]*Tablo13412[[#This Row],[ALIŞ]]+1.5,0)</f>
        <v>0</v>
      </c>
      <c r="H12" s="15">
        <f>IF(Tablo13412[[#This Row],[SATIŞ]]&gt;0,(Tablo13412[[#This Row],[ADET]]*Tablo13412[[#This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IF(Tablo13412[[#This Row],[SATIŞ]]=0,"Açık",(E13-D13)*C13-3)</f>
        <v>Açık</v>
      </c>
      <c r="G13" s="15">
        <f>IF(Tablo13412[[#This Row],[ALIŞ]]&gt;0,Tablo13412[[#This Row],[ADET]]*Tablo13412[[#This Row],[ALIŞ]]+1.5,0)</f>
        <v>0</v>
      </c>
      <c r="H13" s="15">
        <f>IF(Tablo13412[[#This Row],[SATIŞ]]&gt;0,(Tablo13412[[#This Row],[ADET]]*Tablo13412[[#This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IF(Tablo13412[[#This Row],[SATIŞ]]=0,"Açık",(E14-D14)*C14-3)</f>
        <v>Açık</v>
      </c>
      <c r="G14" s="15">
        <f>IF(Tablo13412[[#This Row],[ALIŞ]]&gt;0,Tablo13412[[#This Row],[ADET]]*Tablo13412[[#This Row],[ALIŞ]]+1.5,0)</f>
        <v>0</v>
      </c>
      <c r="H14" s="15">
        <f>IF(Tablo13412[[#This Row],[SATIŞ]]&gt;0,(Tablo13412[[#This Row],[ADET]]*Tablo13412[[#This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IF(Tablo13412[[#This Row],[SATIŞ]]=0,"Açık",(E15-D15)*C15-3)</f>
        <v>Açık</v>
      </c>
      <c r="G15" s="15">
        <f>IF(Tablo13412[[#This Row],[ALIŞ]]&gt;0,Tablo13412[[#This Row],[ADET]]*Tablo13412[[#This Row],[ALIŞ]]+1.5,0)</f>
        <v>0</v>
      </c>
      <c r="H15" s="15">
        <f>IF(Tablo13412[[#This Row],[SATIŞ]]&gt;0,(Tablo13412[[#This Row],[ADET]]*Tablo13412[[#This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IF(Tablo13412[[#This Row],[SATIŞ]]=0,"Açık",(E16-D16)*C16-3)</f>
        <v>Açık</v>
      </c>
      <c r="G16" s="15">
        <f>IF(Tablo13412[[#This Row],[ALIŞ]]&gt;0,Tablo13412[[#This Row],[ADET]]*Tablo13412[[#This Row],[ALIŞ]]+1.5,0)</f>
        <v>0</v>
      </c>
      <c r="H16" s="15">
        <f>IF(Tablo13412[[#This Row],[SATIŞ]]&gt;0,(Tablo13412[[#This Row],[ADET]]*Tablo13412[[#This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IF(Tablo13412[[#This Row],[SATIŞ]]=0,"Açık",(E17-D17)*C17-3)</f>
        <v>Açık</v>
      </c>
      <c r="G17" s="15">
        <f>IF(Tablo13412[[#This Row],[ALIŞ]]&gt;0,Tablo13412[[#This Row],[ADET]]*Tablo13412[[#This Row],[ALIŞ]]+1.5,0)</f>
        <v>0</v>
      </c>
      <c r="H17" s="15">
        <f>IF(Tablo13412[[#This Row],[SATIŞ]]&gt;0,(Tablo13412[[#This Row],[ADET]]*Tablo13412[[#This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IF(Tablo13412[[#This Row],[SATIŞ]]=0,"Açık",(E18-D18)*C18-3)</f>
        <v>Açık</v>
      </c>
      <c r="G18" s="15">
        <f>IF(Tablo13412[[#This Row],[ALIŞ]]&gt;0,Tablo13412[[#This Row],[ADET]]*Tablo13412[[#This Row],[ALIŞ]]+1.5,0)</f>
        <v>0</v>
      </c>
      <c r="H18" s="15">
        <f>IF(Tablo13412[[#This Row],[SATIŞ]]&gt;0,(Tablo13412[[#This Row],[ADET]]*Tablo13412[[#This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IF(Tablo13412[[#This Row],[SATIŞ]]=0,"Açık",(E19-D19)*C19-3)</f>
        <v>Açık</v>
      </c>
      <c r="G19" s="15">
        <f>IF(Tablo13412[[#This Row],[ALIŞ]]&gt;0,Tablo13412[[#This Row],[ADET]]*Tablo13412[[#This Row],[ALIŞ]]+1.5,0)</f>
        <v>0</v>
      </c>
      <c r="H19" s="15">
        <f>IF(Tablo13412[[#This Row],[SATIŞ]]&gt;0,(Tablo13412[[#This Row],[ADET]]*Tablo13412[[#This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IF(Tablo13412[[#This Row],[SATIŞ]]=0,"Açık",(E20-D20)*C20-3)</f>
        <v>Açık</v>
      </c>
      <c r="G20" s="15">
        <f>IF(Tablo13412[[#This Row],[ALIŞ]]&gt;0,Tablo13412[[#This Row],[ADET]]*Tablo13412[[#This Row],[ALIŞ]]+1.5,0)</f>
        <v>0</v>
      </c>
      <c r="H20" s="15">
        <f>IF(Tablo13412[[#This Row],[SATIŞ]]&gt;0,(Tablo13412[[#This Row],[ADET]]*Tablo13412[[#This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IF(Tablo13412[[#This Row],[SATIŞ]]=0,"Açık",(E21-D21)*C21-3)</f>
        <v>Açık</v>
      </c>
      <c r="G21" s="15">
        <f>IF(Tablo13412[[#This Row],[ALIŞ]]&gt;0,Tablo13412[[#This Row],[ADET]]*Tablo13412[[#This Row],[ALIŞ]]+1.5,0)</f>
        <v>0</v>
      </c>
      <c r="H21" s="15">
        <f>IF(Tablo13412[[#This Row],[SATIŞ]]&gt;0,(Tablo13412[[#This Row],[ADET]]*Tablo13412[[#This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IF(Tablo13412[[#This Row],[SATIŞ]]=0,"Açık",(E22-D22)*C22-3)</f>
        <v>Açık</v>
      </c>
      <c r="G22" s="15">
        <f>IF(Tablo13412[[#This Row],[ALIŞ]]&gt;0,Tablo13412[[#This Row],[ADET]]*Tablo13412[[#This Row],[ALIŞ]]+1.5,0)</f>
        <v>0</v>
      </c>
      <c r="H22" s="15">
        <f>IF(Tablo13412[[#This Row],[SATIŞ]]&gt;0,(Tablo13412[[#This Row],[ADET]]*Tablo13412[[#This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IF(Tablo13412[[#This Row],[SATIŞ]]=0,"Açık",(E23-D23)*C23-3)</f>
        <v>Açık</v>
      </c>
      <c r="G23" s="15">
        <f>IF(Tablo13412[[#This Row],[ALIŞ]]&gt;0,Tablo13412[[#This Row],[ADET]]*Tablo13412[[#This Row],[ALIŞ]]+1.5,0)</f>
        <v>0</v>
      </c>
      <c r="H23" s="15">
        <f>IF(Tablo13412[[#This Row],[SATIŞ]]&gt;0,(Tablo13412[[#This Row],[ADET]]*Tablo13412[[#This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IF(Tablo13412[[#This Row],[SATIŞ]]=0,"Açık",(E24-D24)*C24-3)</f>
        <v>Açık</v>
      </c>
      <c r="G24" s="15">
        <f>IF(Tablo13412[[#This Row],[ALIŞ]]&gt;0,Tablo13412[[#This Row],[ADET]]*Tablo13412[[#This Row],[ALIŞ]]+1.5,0)</f>
        <v>0</v>
      </c>
      <c r="H24" s="15">
        <f>IF(Tablo13412[[#This Row],[SATIŞ]]&gt;0,(Tablo13412[[#This Row],[ADET]]*Tablo13412[[#This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IF(Tablo13412[[#This Row],[SATIŞ]]=0,"Açık",(E25-D25)*C25-3)</f>
        <v>Açık</v>
      </c>
      <c r="G25" s="15">
        <f>IF(Tablo13412[[#This Row],[ALIŞ]]&gt;0,Tablo13412[[#This Row],[ADET]]*Tablo13412[[#This Row],[ALIŞ]]+1.5,0)</f>
        <v>0</v>
      </c>
      <c r="H25" s="15">
        <f>IF(Tablo13412[[#This Row],[SATIŞ]]&gt;0,(Tablo13412[[#This Row],[ADET]]*Tablo13412[[#This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IF(Tablo13412[[#This Row],[SATIŞ]]=0,"Açık",(E26-D26)*C26-3)</f>
        <v>Açık</v>
      </c>
      <c r="G26" s="15">
        <f>IF(Tablo13412[[#This Row],[ALIŞ]]&gt;0,Tablo13412[[#This Row],[ADET]]*Tablo13412[[#This Row],[ALIŞ]]+1.5,0)</f>
        <v>0</v>
      </c>
      <c r="H26" s="15">
        <f>IF(Tablo13412[[#This Row],[SATIŞ]]&gt;0,(Tablo13412[[#This Row],[ADET]]*Tablo13412[[#This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IF(Tablo13412[[#This Row],[SATIŞ]]=0,"Açık",(E27-D27)*C27-3)</f>
        <v>Açık</v>
      </c>
      <c r="G27" s="15">
        <f>IF(Tablo13412[[#This Row],[ALIŞ]]&gt;0,Tablo13412[[#This Row],[ADET]]*Tablo13412[[#This Row],[ALIŞ]]+1.5,0)</f>
        <v>0</v>
      </c>
      <c r="H27" s="15">
        <f>IF(Tablo13412[[#This Row],[SATIŞ]]&gt;0,(Tablo13412[[#This Row],[ADET]]*Tablo13412[[#This Row],[SATIŞ]]-1.5),0)</f>
        <v>0</v>
      </c>
    </row>
  </sheetData>
  <conditionalFormatting sqref="B4:E4 B5:F27">
    <cfRule type="expression" dxfId="155" priority="4">
      <formula>$F4&lt;0</formula>
    </cfRule>
    <cfRule type="expression" dxfId="154" priority="5">
      <formula>$F4="Açık"</formula>
    </cfRule>
    <cfRule type="expression" dxfId="153" priority="6">
      <formula>$F4&gt;0</formula>
    </cfRule>
  </conditionalFormatting>
  <conditionalFormatting sqref="F4">
    <cfRule type="expression" dxfId="152" priority="1">
      <formula>$F4&lt;0</formula>
    </cfRule>
    <cfRule type="expression" dxfId="151" priority="2">
      <formula>$F4="Açık"</formula>
    </cfRule>
    <cfRule type="expression" dxfId="150" priority="3">
      <formula>$F4&gt;0</formula>
    </cfRule>
  </conditionalFormatting>
  <hyperlinks>
    <hyperlink ref="B1" location="İcmal!A1" display="ANA SAYFA" xr:uid="{3C5E0221-5951-4DDE-9FCA-213D1E0AA031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18D7-C79C-4EB9-81B1-F95537436CAB}">
  <dimension ref="B1:R27"/>
  <sheetViews>
    <sheetView workbookViewId="0">
      <selection activeCell="E7" sqref="E7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SUMIF(Tablo13426272829303132[KAR],"Açık",Tablo13426272829303132[ADET])</f>
        <v>15</v>
      </c>
      <c r="D1" s="16">
        <f>+İcmal!E15</f>
        <v>42.21</v>
      </c>
      <c r="E1" s="16">
        <f>C1*D1</f>
        <v>633.15</v>
      </c>
      <c r="F1" s="16">
        <f>IFERROR(((SUM(Tablo13426272829303132[ALIŞ TUTAR])-SUM(Tablo13426272829303132[SATIŞ TUTAR]))/C1),"")</f>
        <v>38.043333333333337</v>
      </c>
      <c r="G1" s="3">
        <f>IF(M3=0,L3,C1*(D1-F1))</f>
        <v>62.499999999999964</v>
      </c>
      <c r="J1" s="4">
        <v>0.02</v>
      </c>
      <c r="L1" s="5">
        <f>M1*(1-$J$1)</f>
        <v>37.282466666666672</v>
      </c>
      <c r="M1" s="6">
        <f>F1</f>
        <v>38.043333333333337</v>
      </c>
      <c r="N1" s="5">
        <f>M1*(1+$J$1)</f>
        <v>38.804200000000002</v>
      </c>
      <c r="P1" s="5">
        <f>Q1*(1-$J$1)</f>
        <v>41.3658</v>
      </c>
      <c r="Q1" s="6">
        <f>+D1</f>
        <v>42.21</v>
      </c>
      <c r="R1" s="5">
        <f>Q1*(1+$J$1)</f>
        <v>43.054200000000002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SUM(Tablo13426272829303132[KAR])</f>
        <v>60.849999999999994</v>
      </c>
      <c r="M3" s="12">
        <f>C1</f>
        <v>15</v>
      </c>
    </row>
    <row r="4" spans="2:18" ht="21" customHeight="1" x14ac:dyDescent="0.3">
      <c r="B4" s="13">
        <v>45328</v>
      </c>
      <c r="C4" s="8">
        <v>20</v>
      </c>
      <c r="D4" s="16">
        <v>41.57</v>
      </c>
      <c r="E4" s="16">
        <v>43</v>
      </c>
      <c r="F4" s="17">
        <f>IF(Tablo13426272829303132[[#This Row],[SATIŞ]]=0,"Açık",(E4-D4)*C4-3)</f>
        <v>25.599999999999994</v>
      </c>
      <c r="G4" s="15">
        <f>IF(Tablo13426272829303132[[#This Row],[ALIŞ]]&gt;0,Tablo13426272829303132[[#This Row],[ADET]]*Tablo13426272829303132[[#This Row],[ALIŞ]]+1.5,0)</f>
        <v>832.9</v>
      </c>
      <c r="H4" s="15">
        <f>IF(Tablo13426272829303132[[#This Row],[SATIŞ]]&gt;0,(Tablo13426272829303132[[#This Row],[ADET]]*Tablo13426272829303132[[#This Row],[SATIŞ]]-1.5),0)</f>
        <v>858.5</v>
      </c>
      <c r="L4" s="5"/>
      <c r="M4" s="5"/>
      <c r="N4" s="5"/>
    </row>
    <row r="5" spans="2:18" ht="21" customHeight="1" x14ac:dyDescent="0.3">
      <c r="B5" s="13">
        <v>45328</v>
      </c>
      <c r="C5" s="8">
        <v>15</v>
      </c>
      <c r="D5" s="16">
        <v>41.57</v>
      </c>
      <c r="E5" s="16">
        <v>42.89</v>
      </c>
      <c r="F5" s="17">
        <f>IF(Tablo13426272829303132[[#This Row],[SATIŞ]]=0,"Açık",(E5-D5)*C5-3)</f>
        <v>16.800000000000004</v>
      </c>
      <c r="G5" s="15">
        <f>IF(Tablo13426272829303132[[#This Row],[ALIŞ]]&gt;0,Tablo13426272829303132[[#This Row],[ADET]]*Tablo13426272829303132[[#This Row],[ALIŞ]]+1.5,0)</f>
        <v>625.04999999999995</v>
      </c>
      <c r="H5" s="15">
        <f>IF(Tablo13426272829303132[[#This Row],[SATIŞ]]&gt;0,(Tablo13426272829303132[[#This Row],[ADET]]*Tablo13426272829303132[[#This Row],[SATIŞ]]-1.5),0)</f>
        <v>641.85</v>
      </c>
    </row>
    <row r="6" spans="2:18" ht="21" customHeight="1" x14ac:dyDescent="0.3">
      <c r="B6" s="13">
        <v>45328</v>
      </c>
      <c r="C6" s="8">
        <v>15</v>
      </c>
      <c r="D6" s="16">
        <v>41.57</v>
      </c>
      <c r="E6" s="16">
        <v>43</v>
      </c>
      <c r="F6" s="17">
        <f>IF(Tablo13426272829303132[[#This Row],[SATIŞ]]=0,"Açık",(E6-D6)*C6-3)</f>
        <v>18.449999999999996</v>
      </c>
      <c r="G6" s="15">
        <f>IF(Tablo13426272829303132[[#This Row],[ALIŞ]]&gt;0,Tablo13426272829303132[[#This Row],[ADET]]*Tablo13426272829303132[[#This Row],[ALIŞ]]+1.5,0)</f>
        <v>625.04999999999995</v>
      </c>
      <c r="H6" s="15">
        <f>IF(Tablo13426272829303132[[#This Row],[SATIŞ]]&gt;0,(Tablo13426272829303132[[#This Row],[ADET]]*Tablo13426272829303132[[#This Row],[SATIŞ]]-1.5),0)</f>
        <v>643.5</v>
      </c>
    </row>
    <row r="7" spans="2:18" ht="21" customHeight="1" x14ac:dyDescent="0.3">
      <c r="B7" s="13">
        <v>45356</v>
      </c>
      <c r="C7" s="8">
        <v>15</v>
      </c>
      <c r="D7" s="16">
        <v>42</v>
      </c>
      <c r="F7" s="17" t="str">
        <f>IF(Tablo13426272829303132[[#This Row],[SATIŞ]]=0,"Açık",(E7-D7)*C7-3)</f>
        <v>Açık</v>
      </c>
      <c r="G7" s="15">
        <f>IF(Tablo13426272829303132[[#This Row],[ALIŞ]]&gt;0,Tablo13426272829303132[[#This Row],[ADET]]*Tablo13426272829303132[[#This Row],[ALIŞ]]+1.5,0)</f>
        <v>631.5</v>
      </c>
      <c r="H7" s="15">
        <f>IF(Tablo13426272829303132[[#This Row],[SATIŞ]]&gt;0,(Tablo13426272829303132[[#This Row],[ADET]]*Tablo13426272829303132[[#This Row],[SATIŞ]]-1.5),0)</f>
        <v>0</v>
      </c>
    </row>
    <row r="8" spans="2:18" ht="21" customHeight="1" x14ac:dyDescent="0.3">
      <c r="B8" s="13"/>
      <c r="F8" s="17" t="str">
        <f>IF(Tablo13426272829303132[[#This Row],[SATIŞ]]=0,"Açık",(E8-D8)*C8-3)</f>
        <v>Açık</v>
      </c>
      <c r="G8" s="15">
        <f>IF(Tablo13426272829303132[[#This Row],[ALIŞ]]&gt;0,Tablo13426272829303132[[#This Row],[ADET]]*Tablo13426272829303132[[#This Row],[ALIŞ]]+1.5,0)</f>
        <v>0</v>
      </c>
      <c r="H8" s="15">
        <f>IF(Tablo13426272829303132[[#This Row],[SATIŞ]]&gt;0,(Tablo13426272829303132[[#This Row],[ADET]]*Tablo13426272829303132[[#This Row],[SATIŞ]]-1.5),0)</f>
        <v>0</v>
      </c>
    </row>
    <row r="9" spans="2:18" ht="21" customHeight="1" x14ac:dyDescent="0.3">
      <c r="B9" s="13"/>
      <c r="F9" s="17" t="str">
        <f>IF(Tablo13426272829303132[[#This Row],[SATIŞ]]=0,"Açık",(E9-D9)*C9-3)</f>
        <v>Açık</v>
      </c>
      <c r="G9" s="15">
        <f>IF(Tablo13426272829303132[[#This Row],[ALIŞ]]&gt;0,Tablo13426272829303132[[#This Row],[ADET]]*Tablo13426272829303132[[#This Row],[ALIŞ]]+1.5,0)</f>
        <v>0</v>
      </c>
      <c r="H9" s="15">
        <f>IF(Tablo13426272829303132[[#This Row],[SATIŞ]]&gt;0,(Tablo13426272829303132[[#This Row],[ADET]]*Tablo13426272829303132[[#This Row],[SATIŞ]]-1.5),0)</f>
        <v>0</v>
      </c>
    </row>
    <row r="10" spans="2:18" ht="21" customHeight="1" x14ac:dyDescent="0.3">
      <c r="B10" s="13"/>
      <c r="F10" s="17" t="str">
        <f>IF(Tablo13426272829303132[[#This Row],[SATIŞ]]=0,"Açık",(E10-D10)*C10-3)</f>
        <v>Açık</v>
      </c>
      <c r="G10" s="15">
        <f>IF(Tablo13426272829303132[[#This Row],[ALIŞ]]&gt;0,Tablo13426272829303132[[#This Row],[ADET]]*Tablo13426272829303132[[#This Row],[ALIŞ]]+1.5,0)</f>
        <v>0</v>
      </c>
      <c r="H10" s="15">
        <f>IF(Tablo13426272829303132[[#This Row],[SATIŞ]]&gt;0,(Tablo13426272829303132[[#This Row],[ADET]]*Tablo13426272829303132[[#This Row],[SATIŞ]]-1.5),0)</f>
        <v>0</v>
      </c>
    </row>
    <row r="11" spans="2:18" ht="21" customHeight="1" x14ac:dyDescent="0.3">
      <c r="B11" s="13"/>
      <c r="F11" s="17" t="str">
        <f>IF(Tablo13426272829303132[[#This Row],[SATIŞ]]=0,"Açık",(E11-D11)*C11-3)</f>
        <v>Açık</v>
      </c>
      <c r="G11" s="15">
        <f>IF(Tablo13426272829303132[[#This Row],[ALIŞ]]&gt;0,Tablo13426272829303132[[#This Row],[ADET]]*Tablo13426272829303132[[#This Row],[ALIŞ]]+1.5,0)</f>
        <v>0</v>
      </c>
      <c r="H11" s="15">
        <f>IF(Tablo13426272829303132[[#This Row],[SATIŞ]]&gt;0,(Tablo13426272829303132[[#This Row],[ADET]]*Tablo13426272829303132[[#This Row],[SATIŞ]]-1.5),0)</f>
        <v>0</v>
      </c>
      <c r="J11">
        <f>+Tablo13426272829303132[[#This Row],[ALIŞ]]*1.02</f>
        <v>0</v>
      </c>
    </row>
    <row r="12" spans="2:18" ht="21" customHeight="1" x14ac:dyDescent="0.3">
      <c r="B12" s="13"/>
      <c r="F12" s="17" t="str">
        <f>IF(Tablo13426272829303132[[#This Row],[SATIŞ]]=0,"Açık",(E12-D12)*C12-3)</f>
        <v>Açık</v>
      </c>
      <c r="G12" s="15">
        <f>IF(Tablo13426272829303132[[#This Row],[ALIŞ]]&gt;0,Tablo13426272829303132[[#This Row],[ADET]]*Tablo13426272829303132[[#This Row],[ALIŞ]]+1.5,0)</f>
        <v>0</v>
      </c>
      <c r="H12" s="15">
        <f>IF(Tablo13426272829303132[[#This Row],[SATIŞ]]&gt;0,(Tablo13426272829303132[[#This Row],[ADET]]*Tablo13426272829303132[[#This Row],[SATIŞ]]-1.5),0)</f>
        <v>0</v>
      </c>
    </row>
    <row r="13" spans="2:18" ht="21" customHeight="1" x14ac:dyDescent="0.3">
      <c r="B13" s="13"/>
      <c r="F13" s="17" t="str">
        <f>IF(Tablo13426272829303132[[#This Row],[SATIŞ]]=0,"Açık",(E13-D13)*C13-3)</f>
        <v>Açık</v>
      </c>
      <c r="G13" s="15">
        <f>IF(Tablo13426272829303132[[#This Row],[ALIŞ]]&gt;0,Tablo13426272829303132[[#This Row],[ADET]]*Tablo13426272829303132[[#This Row],[ALIŞ]]+1.5,0)</f>
        <v>0</v>
      </c>
      <c r="H13" s="15">
        <f>IF(Tablo13426272829303132[[#This Row],[SATIŞ]]&gt;0,(Tablo13426272829303132[[#This Row],[ADET]]*Tablo13426272829303132[[#This Row],[SATIŞ]]-1.5),0)</f>
        <v>0</v>
      </c>
    </row>
    <row r="14" spans="2:18" ht="21" customHeight="1" x14ac:dyDescent="0.3">
      <c r="B14" s="13"/>
      <c r="F14" s="17" t="str">
        <f>IF(Tablo13426272829303132[[#This Row],[SATIŞ]]=0,"Açık",(E14-D14)*C14-3)</f>
        <v>Açık</v>
      </c>
      <c r="G14" s="15">
        <f>IF(Tablo13426272829303132[[#This Row],[ALIŞ]]&gt;0,Tablo13426272829303132[[#This Row],[ADET]]*Tablo13426272829303132[[#This Row],[ALIŞ]]+1.5,0)</f>
        <v>0</v>
      </c>
      <c r="H14" s="15">
        <f>IF(Tablo13426272829303132[[#This Row],[SATIŞ]]&gt;0,(Tablo13426272829303132[[#This Row],[ADET]]*Tablo13426272829303132[[#This Row],[SATIŞ]]-1.5),0)</f>
        <v>0</v>
      </c>
    </row>
    <row r="15" spans="2:18" ht="21" customHeight="1" x14ac:dyDescent="0.3">
      <c r="B15" s="13"/>
      <c r="F15" s="17" t="str">
        <f>IF(Tablo13426272829303132[[#This Row],[SATIŞ]]=0,"Açık",(E15-D15)*C15-3)</f>
        <v>Açık</v>
      </c>
      <c r="G15" s="15">
        <f>IF(Tablo13426272829303132[[#This Row],[ALIŞ]]&gt;0,Tablo13426272829303132[[#This Row],[ADET]]*Tablo13426272829303132[[#This Row],[ALIŞ]]+1.5,0)</f>
        <v>0</v>
      </c>
      <c r="H15" s="15">
        <f>IF(Tablo13426272829303132[[#This Row],[SATIŞ]]&gt;0,(Tablo13426272829303132[[#This Row],[ADET]]*Tablo13426272829303132[[#This Row],[SATIŞ]]-1.5),0)</f>
        <v>0</v>
      </c>
    </row>
    <row r="16" spans="2:18" ht="21" customHeight="1" x14ac:dyDescent="0.3">
      <c r="B16" s="13"/>
      <c r="F16" s="17" t="str">
        <f>IF(Tablo13426272829303132[[#This Row],[SATIŞ]]=0,"Açık",(E16-D16)*C16-3)</f>
        <v>Açık</v>
      </c>
      <c r="G16" s="15">
        <f>IF(Tablo13426272829303132[[#This Row],[ALIŞ]]&gt;0,Tablo13426272829303132[[#This Row],[ADET]]*Tablo13426272829303132[[#This Row],[ALIŞ]]+1.5,0)</f>
        <v>0</v>
      </c>
      <c r="H16" s="15">
        <f>IF(Tablo13426272829303132[[#This Row],[SATIŞ]]&gt;0,(Tablo13426272829303132[[#This Row],[ADET]]*Tablo13426272829303132[[#This Row],[SATIŞ]]-1.5),0)</f>
        <v>0</v>
      </c>
    </row>
    <row r="17" spans="2:8" ht="21" customHeight="1" x14ac:dyDescent="0.3">
      <c r="B17" s="13"/>
      <c r="F17" s="17" t="str">
        <f>IF(Tablo13426272829303132[[#This Row],[SATIŞ]]=0,"Açık",(E17-D17)*C17-3)</f>
        <v>Açık</v>
      </c>
      <c r="G17" s="15">
        <f>IF(Tablo13426272829303132[[#This Row],[ALIŞ]]&gt;0,Tablo13426272829303132[[#This Row],[ADET]]*Tablo13426272829303132[[#This Row],[ALIŞ]]+1.5,0)</f>
        <v>0</v>
      </c>
      <c r="H17" s="15">
        <f>IF(Tablo13426272829303132[[#This Row],[SATIŞ]]&gt;0,(Tablo13426272829303132[[#This Row],[ADET]]*Tablo13426272829303132[[#This Row],[SATIŞ]]-1.5),0)</f>
        <v>0</v>
      </c>
    </row>
    <row r="18" spans="2:8" ht="21" customHeight="1" x14ac:dyDescent="0.3">
      <c r="B18" s="13"/>
      <c r="F18" s="17" t="str">
        <f>IF(Tablo13426272829303132[[#This Row],[SATIŞ]]=0,"Açık",(E18-D18)*C18-3)</f>
        <v>Açık</v>
      </c>
      <c r="G18" s="15">
        <f>IF(Tablo13426272829303132[[#This Row],[ALIŞ]]&gt;0,Tablo13426272829303132[[#This Row],[ADET]]*Tablo13426272829303132[[#This Row],[ALIŞ]]+1.5,0)</f>
        <v>0</v>
      </c>
      <c r="H18" s="15">
        <f>IF(Tablo13426272829303132[[#This Row],[SATIŞ]]&gt;0,(Tablo13426272829303132[[#This Row],[ADET]]*Tablo13426272829303132[[#This Row],[SATIŞ]]-1.5),0)</f>
        <v>0</v>
      </c>
    </row>
    <row r="19" spans="2:8" ht="21" customHeight="1" x14ac:dyDescent="0.3">
      <c r="B19" s="13"/>
      <c r="F19" s="17" t="str">
        <f>IF(Tablo13426272829303132[[#This Row],[SATIŞ]]=0,"Açık",(E19-D19)*C19-3)</f>
        <v>Açık</v>
      </c>
      <c r="G19" s="15">
        <f>IF(Tablo13426272829303132[[#This Row],[ALIŞ]]&gt;0,Tablo13426272829303132[[#This Row],[ADET]]*Tablo13426272829303132[[#This Row],[ALIŞ]]+1.5,0)</f>
        <v>0</v>
      </c>
      <c r="H19" s="15">
        <f>IF(Tablo13426272829303132[[#This Row],[SATIŞ]]&gt;0,(Tablo13426272829303132[[#This Row],[ADET]]*Tablo13426272829303132[[#This Row],[SATIŞ]]-1.5),0)</f>
        <v>0</v>
      </c>
    </row>
    <row r="20" spans="2:8" ht="21" customHeight="1" x14ac:dyDescent="0.3">
      <c r="B20" s="13"/>
      <c r="F20" s="17" t="str">
        <f>IF(Tablo13426272829303132[[#This Row],[SATIŞ]]=0,"Açık",(E20-D20)*C20-3)</f>
        <v>Açık</v>
      </c>
      <c r="G20" s="15">
        <f>IF(Tablo13426272829303132[[#This Row],[ALIŞ]]&gt;0,Tablo13426272829303132[[#This Row],[ADET]]*Tablo13426272829303132[[#This Row],[ALIŞ]]+1.5,0)</f>
        <v>0</v>
      </c>
      <c r="H20" s="15">
        <f>IF(Tablo13426272829303132[[#This Row],[SATIŞ]]&gt;0,(Tablo13426272829303132[[#This Row],[ADET]]*Tablo13426272829303132[[#This Row],[SATIŞ]]-1.5),0)</f>
        <v>0</v>
      </c>
    </row>
    <row r="21" spans="2:8" ht="21" customHeight="1" x14ac:dyDescent="0.3">
      <c r="B21" s="13"/>
      <c r="F21" s="17" t="str">
        <f>IF(Tablo13426272829303132[[#This Row],[SATIŞ]]=0,"Açık",(E21-D21)*C21-3)</f>
        <v>Açık</v>
      </c>
      <c r="G21" s="15">
        <f>IF(Tablo13426272829303132[[#This Row],[ALIŞ]]&gt;0,Tablo13426272829303132[[#This Row],[ADET]]*Tablo13426272829303132[[#This Row],[ALIŞ]]+1.5,0)</f>
        <v>0</v>
      </c>
      <c r="H21" s="15">
        <f>IF(Tablo13426272829303132[[#This Row],[SATIŞ]]&gt;0,(Tablo13426272829303132[[#This Row],[ADET]]*Tablo13426272829303132[[#This Row],[SATIŞ]]-1.5),0)</f>
        <v>0</v>
      </c>
    </row>
    <row r="22" spans="2:8" ht="21" customHeight="1" x14ac:dyDescent="0.3">
      <c r="B22" s="13"/>
      <c r="F22" s="17" t="str">
        <f>IF(Tablo13426272829303132[[#This Row],[SATIŞ]]=0,"Açık",(E22-D22)*C22-3)</f>
        <v>Açık</v>
      </c>
      <c r="G22" s="15">
        <f>IF(Tablo13426272829303132[[#This Row],[ALIŞ]]&gt;0,Tablo13426272829303132[[#This Row],[ADET]]*Tablo13426272829303132[[#This Row],[ALIŞ]]+1.5,0)</f>
        <v>0</v>
      </c>
      <c r="H22" s="15">
        <f>IF(Tablo13426272829303132[[#This Row],[SATIŞ]]&gt;0,(Tablo13426272829303132[[#This Row],[ADET]]*Tablo13426272829303132[[#This Row],[SATIŞ]]-1.5),0)</f>
        <v>0</v>
      </c>
    </row>
    <row r="23" spans="2:8" ht="21" customHeight="1" x14ac:dyDescent="0.3">
      <c r="B23" s="13"/>
      <c r="F23" s="17" t="str">
        <f>IF(Tablo13426272829303132[[#This Row],[SATIŞ]]=0,"Açık",(E23-D23)*C23-3)</f>
        <v>Açık</v>
      </c>
      <c r="G23" s="15">
        <f>IF(Tablo13426272829303132[[#This Row],[ALIŞ]]&gt;0,Tablo13426272829303132[[#This Row],[ADET]]*Tablo13426272829303132[[#This Row],[ALIŞ]]+1.5,0)</f>
        <v>0</v>
      </c>
      <c r="H23" s="15">
        <f>IF(Tablo13426272829303132[[#This Row],[SATIŞ]]&gt;0,(Tablo13426272829303132[[#This Row],[ADET]]*Tablo13426272829303132[[#This Row],[SATIŞ]]-1.5),0)</f>
        <v>0</v>
      </c>
    </row>
    <row r="24" spans="2:8" ht="21" customHeight="1" x14ac:dyDescent="0.3">
      <c r="B24" s="13"/>
      <c r="F24" s="17" t="str">
        <f>IF(Tablo13426272829303132[[#This Row],[SATIŞ]]=0,"Açık",(E24-D24)*C24-3)</f>
        <v>Açık</v>
      </c>
      <c r="G24" s="15">
        <f>IF(Tablo13426272829303132[[#This Row],[ALIŞ]]&gt;0,Tablo13426272829303132[[#This Row],[ADET]]*Tablo13426272829303132[[#This Row],[ALIŞ]]+1.5,0)</f>
        <v>0</v>
      </c>
      <c r="H24" s="15">
        <f>IF(Tablo13426272829303132[[#This Row],[SATIŞ]]&gt;0,(Tablo13426272829303132[[#This Row],[ADET]]*Tablo13426272829303132[[#This Row],[SATIŞ]]-1.5),0)</f>
        <v>0</v>
      </c>
    </row>
    <row r="25" spans="2:8" ht="21" customHeight="1" x14ac:dyDescent="0.3">
      <c r="B25" s="13"/>
      <c r="F25" s="17" t="str">
        <f>IF(Tablo13426272829303132[[#This Row],[SATIŞ]]=0,"Açık",(E25-D25)*C25-3)</f>
        <v>Açık</v>
      </c>
      <c r="G25" s="15">
        <f>IF(Tablo13426272829303132[[#This Row],[ALIŞ]]&gt;0,Tablo13426272829303132[[#This Row],[ADET]]*Tablo13426272829303132[[#This Row],[ALIŞ]]+1.5,0)</f>
        <v>0</v>
      </c>
      <c r="H25" s="15">
        <f>IF(Tablo13426272829303132[[#This Row],[SATIŞ]]&gt;0,(Tablo13426272829303132[[#This Row],[ADET]]*Tablo13426272829303132[[#This Row],[SATIŞ]]-1.5),0)</f>
        <v>0</v>
      </c>
    </row>
    <row r="26" spans="2:8" ht="21" customHeight="1" x14ac:dyDescent="0.3">
      <c r="B26" s="13"/>
      <c r="F26" s="17" t="str">
        <f>IF(Tablo13426272829303132[[#This Row],[SATIŞ]]=0,"Açık",(E26-D26)*C26-3)</f>
        <v>Açık</v>
      </c>
      <c r="G26" s="15">
        <f>IF(Tablo13426272829303132[[#This Row],[ALIŞ]]&gt;0,Tablo13426272829303132[[#This Row],[ADET]]*Tablo13426272829303132[[#This Row],[ALIŞ]]+1.5,0)</f>
        <v>0</v>
      </c>
      <c r="H26" s="15">
        <f>IF(Tablo13426272829303132[[#This Row],[SATIŞ]]&gt;0,(Tablo13426272829303132[[#This Row],[ADET]]*Tablo13426272829303132[[#This Row],[SATIŞ]]-1.5),0)</f>
        <v>0</v>
      </c>
    </row>
    <row r="27" spans="2:8" ht="21" customHeight="1" x14ac:dyDescent="0.3">
      <c r="B27" s="13"/>
      <c r="F27" s="17" t="str">
        <f>IF(Tablo13426272829303132[[#This Row],[SATIŞ]]=0,"Açık",(E27-D27)*C27-3)</f>
        <v>Açık</v>
      </c>
      <c r="G27" s="15">
        <f>IF(Tablo13426272829303132[[#This Row],[ALIŞ]]&gt;0,Tablo13426272829303132[[#This Row],[ADET]]*Tablo13426272829303132[[#This Row],[ALIŞ]]+1.5,0)</f>
        <v>0</v>
      </c>
      <c r="H27" s="15">
        <f>IF(Tablo13426272829303132[[#This Row],[SATIŞ]]&gt;0,(Tablo13426272829303132[[#This Row],[ADET]]*Tablo13426272829303132[[#This Row],[SATIŞ]]-1.5),0)</f>
        <v>0</v>
      </c>
    </row>
  </sheetData>
  <conditionalFormatting sqref="B4:E4 B5:F27">
    <cfRule type="expression" dxfId="149" priority="4">
      <formula>$F4&lt;0</formula>
    </cfRule>
    <cfRule type="expression" dxfId="148" priority="5">
      <formula>$F4="Açık"</formula>
    </cfRule>
    <cfRule type="expression" dxfId="147" priority="6">
      <formula>$F4&gt;0</formula>
    </cfRule>
  </conditionalFormatting>
  <conditionalFormatting sqref="F4">
    <cfRule type="expression" dxfId="146" priority="1">
      <formula>$F4&lt;0</formula>
    </cfRule>
    <cfRule type="expression" dxfId="145" priority="2">
      <formula>$F4="Açık"</formula>
    </cfRule>
    <cfRule type="expression" dxfId="144" priority="3">
      <formula>$F4&gt;0</formula>
    </cfRule>
  </conditionalFormatting>
  <hyperlinks>
    <hyperlink ref="B1" location="İcmal!A1" display="ANA SAYFA" xr:uid="{22772AC2-644F-47AE-B426-A3BE4CC1063C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E6EA-3AE0-41C1-AA80-67B0BFFEF4D8}">
  <dimension ref="B1:R27"/>
  <sheetViews>
    <sheetView workbookViewId="0">
      <selection activeCell="E5" sqref="E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SUMIF(Tablo134822[KAR],"Açık",Tablo134822[ADET])</f>
        <v>0</v>
      </c>
      <c r="D1" s="3"/>
      <c r="E1" s="3">
        <f>C1*D1</f>
        <v>0</v>
      </c>
      <c r="F1" s="3" t="str">
        <f>IFERROR(((SUM(Tablo134822[ALIŞ TUTAR])-SUM(Tablo134822[SATIŞ TUTAR]))/C1),"")</f>
        <v/>
      </c>
      <c r="G1" s="3">
        <f>IF(M3=0,L3,C1*(D1-F1))</f>
        <v>10.350000000000009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SUM(Tablo134822[KAR])</f>
        <v>10.350000000000009</v>
      </c>
      <c r="M3" s="12">
        <f>C1</f>
        <v>0</v>
      </c>
    </row>
    <row r="4" spans="2:18" ht="21" customHeight="1" x14ac:dyDescent="0.3">
      <c r="B4" s="13">
        <v>45076</v>
      </c>
      <c r="C4" s="8">
        <v>15</v>
      </c>
      <c r="D4" s="3">
        <v>12.66</v>
      </c>
      <c r="E4" s="3">
        <v>13.55</v>
      </c>
      <c r="F4" s="14">
        <f>IF(Tablo134822[[#This Row],[SATIŞ]]=0,"Açık",(E4-D4)*C4-3)</f>
        <v>10.350000000000009</v>
      </c>
      <c r="G4" s="15">
        <f>IF(Tablo134822[[#This Row],[ALIŞ]]&gt;0,Tablo134822[[#This Row],[ADET]]*Tablo134822[[#This Row],[ALIŞ]]+1.5,0)</f>
        <v>191.4</v>
      </c>
      <c r="H4" s="15">
        <f>IF(Tablo134822[[#This Row],[SATIŞ]]&gt;0,(Tablo134822[[#This Row],[ADET]]*Tablo134822[[#This Row],[SATIŞ]]-1.5),0)</f>
        <v>201.75</v>
      </c>
      <c r="L4" s="5"/>
      <c r="M4" s="5"/>
      <c r="N4" s="5"/>
    </row>
    <row r="5" spans="2:18" ht="21" customHeight="1" x14ac:dyDescent="0.3">
      <c r="B5" s="13"/>
      <c r="D5" s="3"/>
      <c r="E5" s="3"/>
      <c r="F5" s="14" t="str">
        <f>IF(Tablo134822[[#This Row],[SATIŞ]]=0,"Açık",(E5-D5)*C5-3)</f>
        <v>Açık</v>
      </c>
      <c r="G5" s="15">
        <f>IF(Tablo134822[[#This Row],[ALIŞ]]&gt;0,Tablo134822[[#This Row],[ADET]]*Tablo134822[[#This Row],[ALIŞ]]+1.5,0)</f>
        <v>0</v>
      </c>
      <c r="H5" s="15">
        <f>IF(Tablo134822[[#This Row],[SATIŞ]]&gt;0,(Tablo134822[[#This Row],[ADET]]*Tablo134822[[#This Row],[SATIŞ]]-1.5),0)</f>
        <v>0</v>
      </c>
    </row>
    <row r="6" spans="2:18" ht="21" customHeight="1" x14ac:dyDescent="0.3">
      <c r="B6" s="13"/>
      <c r="D6" s="3"/>
      <c r="E6" s="3"/>
      <c r="F6" s="14" t="str">
        <f>IF(Tablo134822[[#This Row],[SATIŞ]]=0,"Açık",(E6-D6)*C6-3)</f>
        <v>Açık</v>
      </c>
      <c r="G6" s="15">
        <f>IF(Tablo134822[[#This Row],[ALIŞ]]&gt;0,Tablo134822[[#This Row],[ADET]]*Tablo134822[[#This Row],[ALIŞ]]+1.5,0)</f>
        <v>0</v>
      </c>
      <c r="H6" s="15">
        <f>IF(Tablo134822[[#This Row],[SATIŞ]]&gt;0,(Tablo134822[[#This Row],[ADET]]*Tablo134822[[#This Row],[SATIŞ]]-1.5),0)</f>
        <v>0</v>
      </c>
    </row>
    <row r="7" spans="2:18" ht="21" customHeight="1" x14ac:dyDescent="0.3">
      <c r="B7" s="13"/>
      <c r="D7" s="3"/>
      <c r="E7" s="3"/>
      <c r="F7" s="14" t="str">
        <f>IF(Tablo134822[[#This Row],[SATIŞ]]=0,"Açık",(E7-D7)*C7-3)</f>
        <v>Açık</v>
      </c>
      <c r="G7" s="15">
        <f>IF(Tablo134822[[#This Row],[ALIŞ]]&gt;0,Tablo134822[[#This Row],[ADET]]*Tablo134822[[#This Row],[ALIŞ]]+1.5,0)</f>
        <v>0</v>
      </c>
      <c r="H7" s="15">
        <f>IF(Tablo134822[[#This Row],[SATIŞ]]&gt;0,(Tablo134822[[#This Row],[ADET]]*Tablo134822[[#This Row],[SATIŞ]]-1.5),0)</f>
        <v>0</v>
      </c>
    </row>
    <row r="8" spans="2:18" ht="21" customHeight="1" x14ac:dyDescent="0.3">
      <c r="B8" s="13"/>
      <c r="D8" s="3"/>
      <c r="E8" s="3"/>
      <c r="F8" s="14" t="str">
        <f>IF(Tablo134822[[#This Row],[SATIŞ]]=0,"Açık",(E8-D8)*C8-3)</f>
        <v>Açık</v>
      </c>
      <c r="G8" s="15">
        <f>IF(Tablo134822[[#This Row],[ALIŞ]]&gt;0,Tablo134822[[#This Row],[ADET]]*Tablo134822[[#This Row],[ALIŞ]]+1.5,0)</f>
        <v>0</v>
      </c>
      <c r="H8" s="15">
        <f>IF(Tablo134822[[#This Row],[SATIŞ]]&gt;0,(Tablo134822[[#This Row],[ADET]]*Tablo134822[[#This Row],[SATIŞ]]-1.5),0)</f>
        <v>0</v>
      </c>
    </row>
    <row r="9" spans="2:18" ht="21" customHeight="1" x14ac:dyDescent="0.3">
      <c r="B9" s="13"/>
      <c r="D9" s="3"/>
      <c r="E9" s="3"/>
      <c r="F9" s="14" t="str">
        <f>IF(Tablo134822[[#This Row],[SATIŞ]]=0,"Açık",(E9-D9)*C9-3)</f>
        <v>Açık</v>
      </c>
      <c r="G9" s="15">
        <f>IF(Tablo134822[[#This Row],[ALIŞ]]&gt;0,Tablo134822[[#This Row],[ADET]]*Tablo134822[[#This Row],[ALIŞ]]+1.5,0)</f>
        <v>0</v>
      </c>
      <c r="H9" s="15">
        <f>IF(Tablo134822[[#This Row],[SATIŞ]]&gt;0,(Tablo134822[[#This Row],[ADET]]*Tablo134822[[#This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IF(Tablo134822[[#This Row],[SATIŞ]]=0,"Açık",(E10-D10)*C10-3)</f>
        <v>Açık</v>
      </c>
      <c r="G10" s="15">
        <f>IF(Tablo134822[[#This Row],[ALIŞ]]&gt;0,Tablo134822[[#This Row],[ADET]]*Tablo134822[[#This Row],[ALIŞ]]+1.5,0)</f>
        <v>0</v>
      </c>
      <c r="H10" s="15">
        <f>IF(Tablo134822[[#This Row],[SATIŞ]]&gt;0,(Tablo134822[[#This Row],[ADET]]*Tablo134822[[#This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IF(Tablo134822[[#This Row],[SATIŞ]]=0,"Açık",(E11-D11)*C11-3)</f>
        <v>Açık</v>
      </c>
      <c r="G11" s="15">
        <f>IF(Tablo134822[[#This Row],[ALIŞ]]&gt;0,Tablo134822[[#This Row],[ADET]]*Tablo134822[[#This Row],[ALIŞ]]+1.5,0)</f>
        <v>0</v>
      </c>
      <c r="H11" s="15">
        <f>IF(Tablo134822[[#This Row],[SATIŞ]]&gt;0,(Tablo134822[[#This Row],[ADET]]*Tablo134822[[#This Row],[SATIŞ]]-1.5),0)</f>
        <v>0</v>
      </c>
      <c r="J11">
        <f>+Tablo134822[[#This Row],[ALIŞ]]*1.02</f>
        <v>0</v>
      </c>
    </row>
    <row r="12" spans="2:18" ht="21" customHeight="1" x14ac:dyDescent="0.3">
      <c r="B12" s="13"/>
      <c r="D12" s="3"/>
      <c r="E12" s="3"/>
      <c r="F12" s="14" t="str">
        <f>IF(Tablo134822[[#This Row],[SATIŞ]]=0,"Açık",(E12-D12)*C12-3)</f>
        <v>Açık</v>
      </c>
      <c r="G12" s="15">
        <f>IF(Tablo134822[[#This Row],[ALIŞ]]&gt;0,Tablo134822[[#This Row],[ADET]]*Tablo134822[[#This Row],[ALIŞ]]+1.5,0)</f>
        <v>0</v>
      </c>
      <c r="H12" s="15">
        <f>IF(Tablo134822[[#This Row],[SATIŞ]]&gt;0,(Tablo134822[[#This Row],[ADET]]*Tablo134822[[#This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IF(Tablo134822[[#This Row],[SATIŞ]]=0,"Açık",(E13-D13)*C13-3)</f>
        <v>Açık</v>
      </c>
      <c r="G13" s="15">
        <f>IF(Tablo134822[[#This Row],[ALIŞ]]&gt;0,Tablo134822[[#This Row],[ADET]]*Tablo134822[[#This Row],[ALIŞ]]+1.5,0)</f>
        <v>0</v>
      </c>
      <c r="H13" s="15">
        <f>IF(Tablo134822[[#This Row],[SATIŞ]]&gt;0,(Tablo134822[[#This Row],[ADET]]*Tablo134822[[#This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IF(Tablo134822[[#This Row],[SATIŞ]]=0,"Açık",(E14-D14)*C14-3)</f>
        <v>Açık</v>
      </c>
      <c r="G14" s="15">
        <f>IF(Tablo134822[[#This Row],[ALIŞ]]&gt;0,Tablo134822[[#This Row],[ADET]]*Tablo134822[[#This Row],[ALIŞ]]+1.5,0)</f>
        <v>0</v>
      </c>
      <c r="H14" s="15">
        <f>IF(Tablo134822[[#This Row],[SATIŞ]]&gt;0,(Tablo134822[[#This Row],[ADET]]*Tablo134822[[#This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IF(Tablo134822[[#This Row],[SATIŞ]]=0,"Açık",(E15-D15)*C15-3)</f>
        <v>Açık</v>
      </c>
      <c r="G15" s="15">
        <f>IF(Tablo134822[[#This Row],[ALIŞ]]&gt;0,Tablo134822[[#This Row],[ADET]]*Tablo134822[[#This Row],[ALIŞ]]+1.5,0)</f>
        <v>0</v>
      </c>
      <c r="H15" s="15">
        <f>IF(Tablo134822[[#This Row],[SATIŞ]]&gt;0,(Tablo134822[[#This Row],[ADET]]*Tablo134822[[#This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IF(Tablo134822[[#This Row],[SATIŞ]]=0,"Açık",(E16-D16)*C16-3)</f>
        <v>Açık</v>
      </c>
      <c r="G16" s="15">
        <f>IF(Tablo134822[[#This Row],[ALIŞ]]&gt;0,Tablo134822[[#This Row],[ADET]]*Tablo134822[[#This Row],[ALIŞ]]+1.5,0)</f>
        <v>0</v>
      </c>
      <c r="H16" s="15">
        <f>IF(Tablo134822[[#This Row],[SATIŞ]]&gt;0,(Tablo134822[[#This Row],[ADET]]*Tablo134822[[#This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IF(Tablo134822[[#This Row],[SATIŞ]]=0,"Açık",(E17-D17)*C17-3)</f>
        <v>Açık</v>
      </c>
      <c r="G17" s="15">
        <f>IF(Tablo134822[[#This Row],[ALIŞ]]&gt;0,Tablo134822[[#This Row],[ADET]]*Tablo134822[[#This Row],[ALIŞ]]+1.5,0)</f>
        <v>0</v>
      </c>
      <c r="H17" s="15">
        <f>IF(Tablo134822[[#This Row],[SATIŞ]]&gt;0,(Tablo134822[[#This Row],[ADET]]*Tablo134822[[#This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IF(Tablo134822[[#This Row],[SATIŞ]]=0,"Açık",(E18-D18)*C18-3)</f>
        <v>Açık</v>
      </c>
      <c r="G18" s="15">
        <f>IF(Tablo134822[[#This Row],[ALIŞ]]&gt;0,Tablo134822[[#This Row],[ADET]]*Tablo134822[[#This Row],[ALIŞ]]+1.5,0)</f>
        <v>0</v>
      </c>
      <c r="H18" s="15">
        <f>IF(Tablo134822[[#This Row],[SATIŞ]]&gt;0,(Tablo134822[[#This Row],[ADET]]*Tablo134822[[#This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IF(Tablo134822[[#This Row],[SATIŞ]]=0,"Açık",(E19-D19)*C19-3)</f>
        <v>Açık</v>
      </c>
      <c r="G19" s="15">
        <f>IF(Tablo134822[[#This Row],[ALIŞ]]&gt;0,Tablo134822[[#This Row],[ADET]]*Tablo134822[[#This Row],[ALIŞ]]+1.5,0)</f>
        <v>0</v>
      </c>
      <c r="H19" s="15">
        <f>IF(Tablo134822[[#This Row],[SATIŞ]]&gt;0,(Tablo134822[[#This Row],[ADET]]*Tablo134822[[#This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IF(Tablo134822[[#This Row],[SATIŞ]]=0,"Açık",(E20-D20)*C20-3)</f>
        <v>Açık</v>
      </c>
      <c r="G20" s="15">
        <f>IF(Tablo134822[[#This Row],[ALIŞ]]&gt;0,Tablo134822[[#This Row],[ADET]]*Tablo134822[[#This Row],[ALIŞ]]+1.5,0)</f>
        <v>0</v>
      </c>
      <c r="H20" s="15">
        <f>IF(Tablo134822[[#This Row],[SATIŞ]]&gt;0,(Tablo134822[[#This Row],[ADET]]*Tablo134822[[#This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IF(Tablo134822[[#This Row],[SATIŞ]]=0,"Açık",(E21-D21)*C21-3)</f>
        <v>Açık</v>
      </c>
      <c r="G21" s="15">
        <f>IF(Tablo134822[[#This Row],[ALIŞ]]&gt;0,Tablo134822[[#This Row],[ADET]]*Tablo134822[[#This Row],[ALIŞ]]+1.5,0)</f>
        <v>0</v>
      </c>
      <c r="H21" s="15">
        <f>IF(Tablo134822[[#This Row],[SATIŞ]]&gt;0,(Tablo134822[[#This Row],[ADET]]*Tablo134822[[#This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IF(Tablo134822[[#This Row],[SATIŞ]]=0,"Açık",(E22-D22)*C22-3)</f>
        <v>Açık</v>
      </c>
      <c r="G22" s="15">
        <f>IF(Tablo134822[[#This Row],[ALIŞ]]&gt;0,Tablo134822[[#This Row],[ADET]]*Tablo134822[[#This Row],[ALIŞ]]+1.5,0)</f>
        <v>0</v>
      </c>
      <c r="H22" s="15">
        <f>IF(Tablo134822[[#This Row],[SATIŞ]]&gt;0,(Tablo134822[[#This Row],[ADET]]*Tablo134822[[#This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IF(Tablo134822[[#This Row],[SATIŞ]]=0,"Açık",(E23-D23)*C23-3)</f>
        <v>Açık</v>
      </c>
      <c r="G23" s="15">
        <f>IF(Tablo134822[[#This Row],[ALIŞ]]&gt;0,Tablo134822[[#This Row],[ADET]]*Tablo134822[[#This Row],[ALIŞ]]+1.5,0)</f>
        <v>0</v>
      </c>
      <c r="H23" s="15">
        <f>IF(Tablo134822[[#This Row],[SATIŞ]]&gt;0,(Tablo134822[[#This Row],[ADET]]*Tablo134822[[#This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IF(Tablo134822[[#This Row],[SATIŞ]]=0,"Açık",(E24-D24)*C24-3)</f>
        <v>Açık</v>
      </c>
      <c r="G24" s="15">
        <f>IF(Tablo134822[[#This Row],[ALIŞ]]&gt;0,Tablo134822[[#This Row],[ADET]]*Tablo134822[[#This Row],[ALIŞ]]+1.5,0)</f>
        <v>0</v>
      </c>
      <c r="H24" s="15">
        <f>IF(Tablo134822[[#This Row],[SATIŞ]]&gt;0,(Tablo134822[[#This Row],[ADET]]*Tablo134822[[#This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IF(Tablo134822[[#This Row],[SATIŞ]]=0,"Açık",(E25-D25)*C25-3)</f>
        <v>Açık</v>
      </c>
      <c r="G25" s="15">
        <f>IF(Tablo134822[[#This Row],[ALIŞ]]&gt;0,Tablo134822[[#This Row],[ADET]]*Tablo134822[[#This Row],[ALIŞ]]+1.5,0)</f>
        <v>0</v>
      </c>
      <c r="H25" s="15">
        <f>IF(Tablo134822[[#This Row],[SATIŞ]]&gt;0,(Tablo134822[[#This Row],[ADET]]*Tablo134822[[#This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IF(Tablo134822[[#This Row],[SATIŞ]]=0,"Açık",(E26-D26)*C26-3)</f>
        <v>Açık</v>
      </c>
      <c r="G26" s="15">
        <f>IF(Tablo134822[[#This Row],[ALIŞ]]&gt;0,Tablo134822[[#This Row],[ADET]]*Tablo134822[[#This Row],[ALIŞ]]+1.5,0)</f>
        <v>0</v>
      </c>
      <c r="H26" s="15">
        <f>IF(Tablo134822[[#This Row],[SATIŞ]]&gt;0,(Tablo134822[[#This Row],[ADET]]*Tablo134822[[#This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IF(Tablo134822[[#This Row],[SATIŞ]]=0,"Açık",(E27-D27)*C27-3)</f>
        <v>Açık</v>
      </c>
      <c r="G27" s="15">
        <f>IF(Tablo134822[[#This Row],[ALIŞ]]&gt;0,Tablo134822[[#This Row],[ADET]]*Tablo134822[[#This Row],[ALIŞ]]+1.5,0)</f>
        <v>0</v>
      </c>
      <c r="H27" s="15">
        <f>IF(Tablo134822[[#This Row],[SATIŞ]]&gt;0,(Tablo134822[[#This Row],[ADET]]*Tablo134822[[#This Row],[SATIŞ]]-1.5),0)</f>
        <v>0</v>
      </c>
    </row>
  </sheetData>
  <conditionalFormatting sqref="B4:E4 B5:F27">
    <cfRule type="expression" dxfId="143" priority="4">
      <formula>$F4&lt;0</formula>
    </cfRule>
    <cfRule type="expression" dxfId="142" priority="5">
      <formula>$F4="Açık"</formula>
    </cfRule>
    <cfRule type="expression" dxfId="141" priority="6">
      <formula>$F4&gt;0</formula>
    </cfRule>
  </conditionalFormatting>
  <conditionalFormatting sqref="F4">
    <cfRule type="expression" dxfId="140" priority="1">
      <formula>$F4&lt;0</formula>
    </cfRule>
    <cfRule type="expression" dxfId="139" priority="2">
      <formula>$F4="Açık"</formula>
    </cfRule>
    <cfRule type="expression" dxfId="138" priority="3">
      <formula>$F4&gt;0</formula>
    </cfRule>
  </conditionalFormatting>
  <hyperlinks>
    <hyperlink ref="B1" location="İcmal!A1" display="ANA SAYFA" xr:uid="{EE53CC50-6831-484C-B4BF-278B3E6E418F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BD31-9A61-43F9-9193-F955877E6BC4}">
  <dimension ref="B1:R27"/>
  <sheetViews>
    <sheetView workbookViewId="0">
      <selection activeCell="E6" sqref="E6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SUMIF(Tablo134891314151617[KAR],"Açık",Tablo134891314151617[ADET])</f>
        <v>0</v>
      </c>
      <c r="D1" s="3"/>
      <c r="E1" s="3">
        <f>C1*D1</f>
        <v>0</v>
      </c>
      <c r="F1" s="3" t="str">
        <f>IFERROR(((SUM(Tablo134891314151617[ALIŞ TUTAR])-SUM(Tablo134891314151617[SATIŞ TUTAR]))/C1),"")</f>
        <v/>
      </c>
      <c r="G1" s="3">
        <f>IF(M3=0,L3,C1*(D1-F1))</f>
        <v>-2.2000000000000099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SUM(Tablo134891314151617[KAR])</f>
        <v>-2.2000000000000099</v>
      </c>
      <c r="M3" s="12">
        <f>C1</f>
        <v>0</v>
      </c>
    </row>
    <row r="4" spans="2:18" ht="21" customHeight="1" x14ac:dyDescent="0.3">
      <c r="B4" s="13">
        <v>44897</v>
      </c>
      <c r="C4" s="8">
        <v>20</v>
      </c>
      <c r="D4" s="16">
        <v>5.21</v>
      </c>
      <c r="E4" s="3">
        <v>5.52</v>
      </c>
      <c r="F4" s="14">
        <f>IF(Tablo134891314151617[[#This Row],[SATIŞ]]=0,"Açık",(E4-D4)*C4-3)</f>
        <v>3.1999999999999922</v>
      </c>
      <c r="G4" s="15">
        <f>IF(Tablo134891314151617[[#This Row],[ALIŞ]]&gt;0,Tablo134891314151617[[#This Row],[ADET]]*Tablo134891314151617[[#This Row],[ALIŞ]]+1.5,0)</f>
        <v>105.7</v>
      </c>
      <c r="H4" s="15">
        <f>IF(Tablo134891314151617[[#This Row],[SATIŞ]]&gt;0,(Tablo134891314151617[[#This Row],[ADET]]*Tablo134891314151617[[#This Row],[SATIŞ]]-1.5),0)</f>
        <v>108.89999999999999</v>
      </c>
      <c r="L4" s="5"/>
      <c r="M4" s="5"/>
      <c r="N4" s="5"/>
    </row>
    <row r="5" spans="2:18" ht="21" customHeight="1" x14ac:dyDescent="0.3">
      <c r="B5" s="13">
        <v>44961</v>
      </c>
      <c r="C5" s="8">
        <v>15</v>
      </c>
      <c r="D5" s="16">
        <v>5.68</v>
      </c>
      <c r="E5" s="3">
        <v>5.52</v>
      </c>
      <c r="F5" s="14">
        <f>IF(Tablo134891314151617[[#This Row],[SATIŞ]]=0,"Açık",(E5-D5)*C5-3)</f>
        <v>-5.4000000000000021</v>
      </c>
      <c r="G5" s="15">
        <f>IF(Tablo134891314151617[[#This Row],[ALIŞ]]&gt;0,Tablo134891314151617[[#This Row],[ADET]]*Tablo134891314151617[[#This Row],[ALIŞ]]+1.5,0)</f>
        <v>86.699999999999989</v>
      </c>
      <c r="H5" s="15">
        <f>IF(Tablo134891314151617[[#This Row],[SATIŞ]]&gt;0,(Tablo134891314151617[[#This Row],[ADET]]*Tablo134891314151617[[#This Row],[SATIŞ]]-1.5),0)</f>
        <v>81.3</v>
      </c>
    </row>
    <row r="6" spans="2:18" ht="21" customHeight="1" x14ac:dyDescent="0.3">
      <c r="B6" s="13"/>
      <c r="D6" s="16"/>
      <c r="E6" s="3"/>
      <c r="F6" s="14" t="str">
        <f>IF(Tablo134891314151617[[#This Row],[SATIŞ]]=0,"Açık",(E6-D6)*C6-3)</f>
        <v>Açık</v>
      </c>
      <c r="G6" s="15">
        <f>IF(Tablo134891314151617[[#This Row],[ALIŞ]]&gt;0,Tablo134891314151617[[#This Row],[ADET]]*Tablo134891314151617[[#This Row],[ALIŞ]]+1.5,0)</f>
        <v>0</v>
      </c>
      <c r="H6" s="15">
        <f>IF(Tablo134891314151617[[#This Row],[SATIŞ]]&gt;0,(Tablo134891314151617[[#This Row],[ADET]]*Tablo134891314151617[[#This Row],[SATIŞ]]-1.5),0)</f>
        <v>0</v>
      </c>
    </row>
    <row r="7" spans="2:18" ht="21" customHeight="1" x14ac:dyDescent="0.3">
      <c r="B7" s="13"/>
      <c r="D7" s="16"/>
      <c r="E7" s="3"/>
      <c r="F7" s="14" t="str">
        <f>IF(Tablo134891314151617[[#This Row],[SATIŞ]]=0,"Açık",(E7-D7)*C7-3)</f>
        <v>Açık</v>
      </c>
      <c r="G7" s="15">
        <f>IF(Tablo134891314151617[[#This Row],[ALIŞ]]&gt;0,Tablo134891314151617[[#This Row],[ADET]]*Tablo134891314151617[[#This Row],[ALIŞ]]+1.5,0)</f>
        <v>0</v>
      </c>
      <c r="H7" s="15">
        <f>IF(Tablo134891314151617[[#This Row],[SATIŞ]]&gt;0,(Tablo134891314151617[[#This Row],[ADET]]*Tablo134891314151617[[#This Row],[SATIŞ]]-1.5),0)</f>
        <v>0</v>
      </c>
    </row>
    <row r="8" spans="2:18" ht="21" customHeight="1" x14ac:dyDescent="0.3">
      <c r="B8" s="13"/>
      <c r="D8" s="16"/>
      <c r="E8" s="3"/>
      <c r="F8" s="14" t="str">
        <f>IF(Tablo134891314151617[[#This Row],[SATIŞ]]=0,"Açık",(E8-D8)*C8-3)</f>
        <v>Açık</v>
      </c>
      <c r="G8" s="15">
        <f>IF(Tablo134891314151617[[#This Row],[ALIŞ]]&gt;0,Tablo134891314151617[[#This Row],[ADET]]*Tablo134891314151617[[#This Row],[ALIŞ]]+1.5,0)</f>
        <v>0</v>
      </c>
      <c r="H8" s="15">
        <f>IF(Tablo134891314151617[[#This Row],[SATIŞ]]&gt;0,(Tablo134891314151617[[#This Row],[ADET]]*Tablo134891314151617[[#This Row],[SATIŞ]]-1.5),0)</f>
        <v>0</v>
      </c>
    </row>
    <row r="9" spans="2:18" ht="21" customHeight="1" x14ac:dyDescent="0.3">
      <c r="B9" s="13"/>
      <c r="D9" s="16"/>
      <c r="E9" s="3"/>
      <c r="F9" s="14" t="str">
        <f>IF(Tablo134891314151617[[#This Row],[SATIŞ]]=0,"Açık",(E9-D9)*C9-3)</f>
        <v>Açık</v>
      </c>
      <c r="G9" s="15">
        <f>IF(Tablo134891314151617[[#This Row],[ALIŞ]]&gt;0,Tablo134891314151617[[#This Row],[ADET]]*Tablo134891314151617[[#This Row],[ALIŞ]]+1.5,0)</f>
        <v>0</v>
      </c>
      <c r="H9" s="15">
        <f>IF(Tablo134891314151617[[#This Row],[SATIŞ]]&gt;0,(Tablo134891314151617[[#This Row],[ADET]]*Tablo134891314151617[[#This Row],[SATIŞ]]-1.5),0)</f>
        <v>0</v>
      </c>
    </row>
    <row r="10" spans="2:18" ht="21" customHeight="1" x14ac:dyDescent="0.3">
      <c r="B10" s="13"/>
      <c r="D10" s="16"/>
      <c r="E10" s="3"/>
      <c r="F10" s="14" t="str">
        <f>IF(Tablo134891314151617[[#This Row],[SATIŞ]]=0,"Açık",(E10-D10)*C10-3)</f>
        <v>Açık</v>
      </c>
      <c r="G10" s="15">
        <f>IF(Tablo134891314151617[[#This Row],[ALIŞ]]&gt;0,Tablo134891314151617[[#This Row],[ADET]]*Tablo134891314151617[[#This Row],[ALIŞ]]+1.5,0)</f>
        <v>0</v>
      </c>
      <c r="H10" s="15">
        <f>IF(Tablo134891314151617[[#This Row],[SATIŞ]]&gt;0,(Tablo134891314151617[[#This Row],[ADET]]*Tablo134891314151617[[#This Row],[SATIŞ]]-1.5),0)</f>
        <v>0</v>
      </c>
    </row>
    <row r="11" spans="2:18" ht="21" customHeight="1" x14ac:dyDescent="0.3">
      <c r="B11" s="13"/>
      <c r="D11" s="16"/>
      <c r="E11" s="3"/>
      <c r="F11" s="14" t="str">
        <f>IF(Tablo134891314151617[[#This Row],[SATIŞ]]=0,"Açık",(E11-D11)*C11-3)</f>
        <v>Açık</v>
      </c>
      <c r="G11" s="15">
        <f>IF(Tablo134891314151617[[#This Row],[ALIŞ]]&gt;0,Tablo134891314151617[[#This Row],[ADET]]*Tablo134891314151617[[#This Row],[ALIŞ]]+1.5,0)</f>
        <v>0</v>
      </c>
      <c r="H11" s="15">
        <f>IF(Tablo134891314151617[[#This Row],[SATIŞ]]&gt;0,(Tablo134891314151617[[#This Row],[ADET]]*Tablo134891314151617[[#This Row],[SATIŞ]]-1.5),0)</f>
        <v>0</v>
      </c>
      <c r="J11">
        <f>+Tablo134891314151617[[#This Row],[ALIŞ]]*1.02</f>
        <v>0</v>
      </c>
    </row>
    <row r="12" spans="2:18" ht="21" customHeight="1" x14ac:dyDescent="0.3">
      <c r="B12" s="13"/>
      <c r="D12" s="16"/>
      <c r="E12" s="3"/>
      <c r="F12" s="14" t="str">
        <f>IF(Tablo134891314151617[[#This Row],[SATIŞ]]=0,"Açık",(E12-D12)*C12-3)</f>
        <v>Açık</v>
      </c>
      <c r="G12" s="15">
        <f>IF(Tablo134891314151617[[#This Row],[ALIŞ]]&gt;0,Tablo134891314151617[[#This Row],[ADET]]*Tablo134891314151617[[#This Row],[ALIŞ]]+1.5,0)</f>
        <v>0</v>
      </c>
      <c r="H12" s="15">
        <f>IF(Tablo134891314151617[[#This Row],[SATIŞ]]&gt;0,(Tablo134891314151617[[#This Row],[ADET]]*Tablo134891314151617[[#This Row],[SATIŞ]]-1.5),0)</f>
        <v>0</v>
      </c>
    </row>
    <row r="13" spans="2:18" ht="21" customHeight="1" x14ac:dyDescent="0.3">
      <c r="B13" s="13"/>
      <c r="D13" s="16"/>
      <c r="E13" s="3"/>
      <c r="F13" s="14" t="str">
        <f>IF(Tablo134891314151617[[#This Row],[SATIŞ]]=0,"Açık",(E13-D13)*C13-3)</f>
        <v>Açık</v>
      </c>
      <c r="G13" s="15">
        <f>IF(Tablo134891314151617[[#This Row],[ALIŞ]]&gt;0,Tablo134891314151617[[#This Row],[ADET]]*Tablo134891314151617[[#This Row],[ALIŞ]]+1.5,0)</f>
        <v>0</v>
      </c>
      <c r="H13" s="15">
        <f>IF(Tablo134891314151617[[#This Row],[SATIŞ]]&gt;0,(Tablo134891314151617[[#This Row],[ADET]]*Tablo134891314151617[[#This Row],[SATIŞ]]-1.5),0)</f>
        <v>0</v>
      </c>
    </row>
    <row r="14" spans="2:18" ht="21" customHeight="1" x14ac:dyDescent="0.3">
      <c r="B14" s="13"/>
      <c r="D14" s="16"/>
      <c r="E14" s="3"/>
      <c r="F14" s="14" t="str">
        <f>IF(Tablo134891314151617[[#This Row],[SATIŞ]]=0,"Açık",(E14-D14)*C14-3)</f>
        <v>Açık</v>
      </c>
      <c r="G14" s="15">
        <f>IF(Tablo134891314151617[[#This Row],[ALIŞ]]&gt;0,Tablo134891314151617[[#This Row],[ADET]]*Tablo134891314151617[[#This Row],[ALIŞ]]+1.5,0)</f>
        <v>0</v>
      </c>
      <c r="H14" s="15">
        <f>IF(Tablo134891314151617[[#This Row],[SATIŞ]]&gt;0,(Tablo134891314151617[[#This Row],[ADET]]*Tablo134891314151617[[#This Row],[SATIŞ]]-1.5),0)</f>
        <v>0</v>
      </c>
    </row>
    <row r="15" spans="2:18" ht="21" customHeight="1" x14ac:dyDescent="0.3">
      <c r="B15" s="13"/>
      <c r="D15" s="16"/>
      <c r="E15" s="3"/>
      <c r="F15" s="14" t="str">
        <f>IF(Tablo134891314151617[[#This Row],[SATIŞ]]=0,"Açık",(E15-D15)*C15-3)</f>
        <v>Açık</v>
      </c>
      <c r="G15" s="15">
        <f>IF(Tablo134891314151617[[#This Row],[ALIŞ]]&gt;0,Tablo134891314151617[[#This Row],[ADET]]*Tablo134891314151617[[#This Row],[ALIŞ]]+1.5,0)</f>
        <v>0</v>
      </c>
      <c r="H15" s="15">
        <f>IF(Tablo134891314151617[[#This Row],[SATIŞ]]&gt;0,(Tablo134891314151617[[#This Row],[ADET]]*Tablo134891314151617[[#This Row],[SATIŞ]]-1.5),0)</f>
        <v>0</v>
      </c>
    </row>
    <row r="16" spans="2:18" ht="21" customHeight="1" x14ac:dyDescent="0.3">
      <c r="B16" s="13"/>
      <c r="D16" s="16"/>
      <c r="E16" s="3"/>
      <c r="F16" s="14" t="str">
        <f>IF(Tablo134891314151617[[#This Row],[SATIŞ]]=0,"Açık",(E16-D16)*C16-3)</f>
        <v>Açık</v>
      </c>
      <c r="G16" s="15">
        <f>IF(Tablo134891314151617[[#This Row],[ALIŞ]]&gt;0,Tablo134891314151617[[#This Row],[ADET]]*Tablo134891314151617[[#This Row],[ALIŞ]]+1.5,0)</f>
        <v>0</v>
      </c>
      <c r="H16" s="15">
        <f>IF(Tablo134891314151617[[#This Row],[SATIŞ]]&gt;0,(Tablo134891314151617[[#This Row],[ADET]]*Tablo134891314151617[[#This Row],[SATIŞ]]-1.5),0)</f>
        <v>0</v>
      </c>
    </row>
    <row r="17" spans="2:8" ht="21" customHeight="1" x14ac:dyDescent="0.3">
      <c r="B17" s="13"/>
      <c r="D17" s="16"/>
      <c r="E17" s="3"/>
      <c r="F17" s="14" t="str">
        <f>IF(Tablo134891314151617[[#This Row],[SATIŞ]]=0,"Açık",(E17-D17)*C17-3)</f>
        <v>Açık</v>
      </c>
      <c r="G17" s="15">
        <f>IF(Tablo134891314151617[[#This Row],[ALIŞ]]&gt;0,Tablo134891314151617[[#This Row],[ADET]]*Tablo134891314151617[[#This Row],[ALIŞ]]+1.5,0)</f>
        <v>0</v>
      </c>
      <c r="H17" s="15">
        <f>IF(Tablo134891314151617[[#This Row],[SATIŞ]]&gt;0,(Tablo134891314151617[[#This Row],[ADET]]*Tablo134891314151617[[#This Row],[SATIŞ]]-1.5),0)</f>
        <v>0</v>
      </c>
    </row>
    <row r="18" spans="2:8" ht="21" customHeight="1" x14ac:dyDescent="0.3">
      <c r="B18" s="13"/>
      <c r="D18" s="16"/>
      <c r="E18" s="3"/>
      <c r="F18" s="14" t="str">
        <f>IF(Tablo134891314151617[[#This Row],[SATIŞ]]=0,"Açık",(E18-D18)*C18-3)</f>
        <v>Açık</v>
      </c>
      <c r="G18" s="15">
        <f>IF(Tablo134891314151617[[#This Row],[ALIŞ]]&gt;0,Tablo134891314151617[[#This Row],[ADET]]*Tablo134891314151617[[#This Row],[ALIŞ]]+1.5,0)</f>
        <v>0</v>
      </c>
      <c r="H18" s="15">
        <f>IF(Tablo134891314151617[[#This Row],[SATIŞ]]&gt;0,(Tablo134891314151617[[#This Row],[ADET]]*Tablo134891314151617[[#This Row],[SATIŞ]]-1.5),0)</f>
        <v>0</v>
      </c>
    </row>
    <row r="19" spans="2:8" ht="21" customHeight="1" x14ac:dyDescent="0.3">
      <c r="B19" s="13"/>
      <c r="D19" s="16"/>
      <c r="E19" s="3"/>
      <c r="F19" s="14" t="str">
        <f>IF(Tablo134891314151617[[#This Row],[SATIŞ]]=0,"Açık",(E19-D19)*C19-3)</f>
        <v>Açık</v>
      </c>
      <c r="G19" s="15">
        <f>IF(Tablo134891314151617[[#This Row],[ALIŞ]]&gt;0,Tablo134891314151617[[#This Row],[ADET]]*Tablo134891314151617[[#This Row],[ALIŞ]]+1.5,0)</f>
        <v>0</v>
      </c>
      <c r="H19" s="15">
        <f>IF(Tablo134891314151617[[#This Row],[SATIŞ]]&gt;0,(Tablo134891314151617[[#This Row],[ADET]]*Tablo134891314151617[[#This Row],[SATIŞ]]-1.5),0)</f>
        <v>0</v>
      </c>
    </row>
    <row r="20" spans="2:8" ht="21" customHeight="1" x14ac:dyDescent="0.3">
      <c r="B20" s="13"/>
      <c r="D20" s="16"/>
      <c r="E20" s="3"/>
      <c r="F20" s="14" t="str">
        <f>IF(Tablo134891314151617[[#This Row],[SATIŞ]]=0,"Açık",(E20-D20)*C20-3)</f>
        <v>Açık</v>
      </c>
      <c r="G20" s="15">
        <f>IF(Tablo134891314151617[[#This Row],[ALIŞ]]&gt;0,Tablo134891314151617[[#This Row],[ADET]]*Tablo134891314151617[[#This Row],[ALIŞ]]+1.5,0)</f>
        <v>0</v>
      </c>
      <c r="H20" s="15">
        <f>IF(Tablo134891314151617[[#This Row],[SATIŞ]]&gt;0,(Tablo134891314151617[[#This Row],[ADET]]*Tablo134891314151617[[#This Row],[SATIŞ]]-1.5),0)</f>
        <v>0</v>
      </c>
    </row>
    <row r="21" spans="2:8" ht="21" customHeight="1" x14ac:dyDescent="0.3">
      <c r="B21" s="13"/>
      <c r="D21" s="16"/>
      <c r="E21" s="3"/>
      <c r="F21" s="14" t="str">
        <f>IF(Tablo134891314151617[[#This Row],[SATIŞ]]=0,"Açık",(E21-D21)*C21-3)</f>
        <v>Açık</v>
      </c>
      <c r="G21" s="15">
        <f>IF(Tablo134891314151617[[#This Row],[ALIŞ]]&gt;0,Tablo134891314151617[[#This Row],[ADET]]*Tablo134891314151617[[#This Row],[ALIŞ]]+1.5,0)</f>
        <v>0</v>
      </c>
      <c r="H21" s="15">
        <f>IF(Tablo134891314151617[[#This Row],[SATIŞ]]&gt;0,(Tablo134891314151617[[#This Row],[ADET]]*Tablo134891314151617[[#This Row],[SATIŞ]]-1.5),0)</f>
        <v>0</v>
      </c>
    </row>
    <row r="22" spans="2:8" ht="21" customHeight="1" x14ac:dyDescent="0.3">
      <c r="B22" s="13"/>
      <c r="D22" s="16"/>
      <c r="E22" s="3"/>
      <c r="F22" s="14" t="str">
        <f>IF(Tablo134891314151617[[#This Row],[SATIŞ]]=0,"Açık",(E22-D22)*C22-3)</f>
        <v>Açık</v>
      </c>
      <c r="G22" s="15">
        <f>IF(Tablo134891314151617[[#This Row],[ALIŞ]]&gt;0,Tablo134891314151617[[#This Row],[ADET]]*Tablo134891314151617[[#This Row],[ALIŞ]]+1.5,0)</f>
        <v>0</v>
      </c>
      <c r="H22" s="15">
        <f>IF(Tablo134891314151617[[#This Row],[SATIŞ]]&gt;0,(Tablo134891314151617[[#This Row],[ADET]]*Tablo134891314151617[[#This Row],[SATIŞ]]-1.5),0)</f>
        <v>0</v>
      </c>
    </row>
    <row r="23" spans="2:8" ht="21" customHeight="1" x14ac:dyDescent="0.3">
      <c r="B23" s="13"/>
      <c r="D23" s="16"/>
      <c r="E23" s="3"/>
      <c r="F23" s="14" t="str">
        <f>IF(Tablo134891314151617[[#This Row],[SATIŞ]]=0,"Açık",(E23-D23)*C23-3)</f>
        <v>Açık</v>
      </c>
      <c r="G23" s="15">
        <f>IF(Tablo134891314151617[[#This Row],[ALIŞ]]&gt;0,Tablo134891314151617[[#This Row],[ADET]]*Tablo134891314151617[[#This Row],[ALIŞ]]+1.5,0)</f>
        <v>0</v>
      </c>
      <c r="H23" s="15">
        <f>IF(Tablo134891314151617[[#This Row],[SATIŞ]]&gt;0,(Tablo134891314151617[[#This Row],[ADET]]*Tablo134891314151617[[#This Row],[SATIŞ]]-1.5),0)</f>
        <v>0</v>
      </c>
    </row>
    <row r="24" spans="2:8" ht="21" customHeight="1" x14ac:dyDescent="0.3">
      <c r="B24" s="13"/>
      <c r="D24" s="16"/>
      <c r="E24" s="3"/>
      <c r="F24" s="14" t="str">
        <f>IF(Tablo134891314151617[[#This Row],[SATIŞ]]=0,"Açık",(E24-D24)*C24-3)</f>
        <v>Açık</v>
      </c>
      <c r="G24" s="15">
        <f>IF(Tablo134891314151617[[#This Row],[ALIŞ]]&gt;0,Tablo134891314151617[[#This Row],[ADET]]*Tablo134891314151617[[#This Row],[ALIŞ]]+1.5,0)</f>
        <v>0</v>
      </c>
      <c r="H24" s="15">
        <f>IF(Tablo134891314151617[[#This Row],[SATIŞ]]&gt;0,(Tablo134891314151617[[#This Row],[ADET]]*Tablo134891314151617[[#This Row],[SATIŞ]]-1.5),0)</f>
        <v>0</v>
      </c>
    </row>
    <row r="25" spans="2:8" ht="21" customHeight="1" x14ac:dyDescent="0.3">
      <c r="B25" s="13"/>
      <c r="D25" s="16"/>
      <c r="E25" s="3"/>
      <c r="F25" s="14" t="str">
        <f>IF(Tablo134891314151617[[#This Row],[SATIŞ]]=0,"Açık",(E25-D25)*C25-3)</f>
        <v>Açık</v>
      </c>
      <c r="G25" s="15">
        <f>IF(Tablo134891314151617[[#This Row],[ALIŞ]]&gt;0,Tablo134891314151617[[#This Row],[ADET]]*Tablo134891314151617[[#This Row],[ALIŞ]]+1.5,0)</f>
        <v>0</v>
      </c>
      <c r="H25" s="15">
        <f>IF(Tablo134891314151617[[#This Row],[SATIŞ]]&gt;0,(Tablo134891314151617[[#This Row],[ADET]]*Tablo134891314151617[[#This Row],[SATIŞ]]-1.5),0)</f>
        <v>0</v>
      </c>
    </row>
    <row r="26" spans="2:8" ht="21" customHeight="1" x14ac:dyDescent="0.3">
      <c r="B26" s="13"/>
      <c r="D26" s="16"/>
      <c r="E26" s="3"/>
      <c r="F26" s="14" t="str">
        <f>IF(Tablo134891314151617[[#This Row],[SATIŞ]]=0,"Açık",(E26-D26)*C26-3)</f>
        <v>Açık</v>
      </c>
      <c r="G26" s="15">
        <f>IF(Tablo134891314151617[[#This Row],[ALIŞ]]&gt;0,Tablo134891314151617[[#This Row],[ADET]]*Tablo134891314151617[[#This Row],[ALIŞ]]+1.5,0)</f>
        <v>0</v>
      </c>
      <c r="H26" s="15">
        <f>IF(Tablo134891314151617[[#This Row],[SATIŞ]]&gt;0,(Tablo134891314151617[[#This Row],[ADET]]*Tablo134891314151617[[#This Row],[SATIŞ]]-1.5),0)</f>
        <v>0</v>
      </c>
    </row>
    <row r="27" spans="2:8" ht="21" customHeight="1" x14ac:dyDescent="0.3">
      <c r="B27" s="13"/>
      <c r="D27" s="16"/>
      <c r="E27" s="3"/>
      <c r="F27" s="14" t="str">
        <f>IF(Tablo134891314151617[[#This Row],[SATIŞ]]=0,"Açık",(E27-D27)*C27-3)</f>
        <v>Açık</v>
      </c>
      <c r="G27" s="15">
        <f>IF(Tablo134891314151617[[#This Row],[ALIŞ]]&gt;0,Tablo134891314151617[[#This Row],[ADET]]*Tablo134891314151617[[#This Row],[ALIŞ]]+1.5,0)</f>
        <v>0</v>
      </c>
      <c r="H27" s="15">
        <f>IF(Tablo134891314151617[[#This Row],[SATIŞ]]&gt;0,(Tablo134891314151617[[#This Row],[ADET]]*Tablo134891314151617[[#This Row],[SATIŞ]]-1.5),0)</f>
        <v>0</v>
      </c>
    </row>
  </sheetData>
  <conditionalFormatting sqref="B4:E4 B5:F27">
    <cfRule type="expression" dxfId="137" priority="4">
      <formula>$F4&lt;0</formula>
    </cfRule>
    <cfRule type="expression" dxfId="136" priority="5">
      <formula>$F4="Açık"</formula>
    </cfRule>
    <cfRule type="expression" dxfId="135" priority="6">
      <formula>$F4&gt;0</formula>
    </cfRule>
  </conditionalFormatting>
  <conditionalFormatting sqref="F4">
    <cfRule type="expression" dxfId="134" priority="1">
      <formula>$F4&lt;0</formula>
    </cfRule>
    <cfRule type="expression" dxfId="133" priority="2">
      <formula>$F4="Açık"</formula>
    </cfRule>
    <cfRule type="expression" dxfId="132" priority="3">
      <formula>$F4&gt;0</formula>
    </cfRule>
  </conditionalFormatting>
  <hyperlinks>
    <hyperlink ref="B1" location="İcmal!A1" display="ANA SAYFA" xr:uid="{93F1193D-A4EF-437A-BAF6-66D96F7FD3DA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0E75-7CC1-48C1-B12A-3159174DCD2A}">
  <dimension ref="B1:R27"/>
  <sheetViews>
    <sheetView workbookViewId="0">
      <selection activeCell="E6" sqref="E6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SUMIF(Tablo13426[KAR],"Açık",Tablo13426[ADET])</f>
        <v>2</v>
      </c>
      <c r="D1" s="16">
        <f>+İcmal!E18</f>
        <v>157.86000000000001</v>
      </c>
      <c r="E1" s="16">
        <f>C1*D1</f>
        <v>315.72000000000003</v>
      </c>
      <c r="F1" s="16">
        <f>IFERROR(((SUM(Tablo13426[ALIŞ TUTAR])-SUM(Tablo13426[SATIŞ TUTAR]))/C1),"")</f>
        <v>80.599999999999966</v>
      </c>
      <c r="G1" s="3">
        <f>IF(M3=0,L3,C1*(D1-F1))</f>
        <v>154.5200000000001</v>
      </c>
      <c r="J1" s="4">
        <v>0.02</v>
      </c>
      <c r="L1" s="5">
        <f>M1*(1-$J$1)</f>
        <v>78.987999999999971</v>
      </c>
      <c r="M1" s="6">
        <f>F1</f>
        <v>80.599999999999966</v>
      </c>
      <c r="N1" s="5">
        <f>M1*(1+$J$1)</f>
        <v>82.211999999999961</v>
      </c>
      <c r="P1" s="5">
        <f>Q1*(1-$J$1)</f>
        <v>154.70280000000002</v>
      </c>
      <c r="Q1" s="6">
        <f>+D1</f>
        <v>157.86000000000001</v>
      </c>
      <c r="R1" s="5">
        <f>Q1*(1+$J$1)</f>
        <v>161.0172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SUM(Tablo13426[KAR])</f>
        <v>180.3</v>
      </c>
      <c r="M3" s="12">
        <f>C1</f>
        <v>2</v>
      </c>
    </row>
    <row r="4" spans="2:18" ht="21" customHeight="1" x14ac:dyDescent="0.3">
      <c r="B4" s="13">
        <v>45285</v>
      </c>
      <c r="C4" s="8">
        <v>2</v>
      </c>
      <c r="D4" s="16">
        <v>126.72</v>
      </c>
      <c r="E4" s="16">
        <v>175</v>
      </c>
      <c r="F4" s="17">
        <f>IF(Tablo13426[[#This Row],[SATIŞ]]=0,"Açık",(E4-D4)*C4-3)</f>
        <v>93.56</v>
      </c>
      <c r="G4" s="15">
        <f>IF(Tablo13426[[#This Row],[ALIŞ]]&gt;0,Tablo13426[[#This Row],[ADET]]*Tablo13426[[#This Row],[ALIŞ]]+1.5,0)</f>
        <v>254.94</v>
      </c>
      <c r="H4" s="15">
        <f>IF(Tablo13426[[#This Row],[SATIŞ]]&gt;0,(Tablo13426[[#This Row],[ADET]]*Tablo13426[[#This Row],[SATIŞ]]-1.5),0)</f>
        <v>348.5</v>
      </c>
      <c r="L4" s="5"/>
      <c r="M4" s="5"/>
      <c r="N4" s="5"/>
    </row>
    <row r="5" spans="2:18" ht="21" customHeight="1" x14ac:dyDescent="0.3">
      <c r="B5" s="13">
        <v>45285</v>
      </c>
      <c r="C5" s="8">
        <v>2</v>
      </c>
      <c r="D5" s="16">
        <v>126.72</v>
      </c>
      <c r="E5" s="16">
        <v>171.59</v>
      </c>
      <c r="F5" s="17">
        <f>IF(Tablo13426[[#This Row],[SATIŞ]]=0,"Açık",(E5-D5)*C5-3)</f>
        <v>86.740000000000009</v>
      </c>
      <c r="G5" s="15">
        <f>IF(Tablo13426[[#This Row],[ALIŞ]]&gt;0,Tablo13426[[#This Row],[ADET]]*Tablo13426[[#This Row],[ALIŞ]]+1.5,0)</f>
        <v>254.94</v>
      </c>
      <c r="H5" s="15">
        <f>IF(Tablo13426[[#This Row],[SATIŞ]]&gt;0,(Tablo13426[[#This Row],[ADET]]*Tablo13426[[#This Row],[SATIŞ]]-1.5),0)</f>
        <v>341.68</v>
      </c>
    </row>
    <row r="6" spans="2:18" ht="21" customHeight="1" x14ac:dyDescent="0.3">
      <c r="B6" s="13">
        <v>45359</v>
      </c>
      <c r="C6" s="8">
        <v>2</v>
      </c>
      <c r="D6" s="16">
        <v>170</v>
      </c>
      <c r="F6" s="17" t="str">
        <f>IF(Tablo13426[[#This Row],[SATIŞ]]=0,"Açık",(E6-D6)*C6-3)</f>
        <v>Açık</v>
      </c>
      <c r="G6" s="15">
        <f>IF(Tablo13426[[#This Row],[ALIŞ]]&gt;0,Tablo13426[[#This Row],[ADET]]*Tablo13426[[#This Row],[ALIŞ]]+1.5,0)</f>
        <v>341.5</v>
      </c>
      <c r="H6" s="15">
        <f>IF(Tablo13426[[#This Row],[SATIŞ]]&gt;0,(Tablo13426[[#This Row],[ADET]]*Tablo13426[[#This Row],[SATIŞ]]-1.5),0)</f>
        <v>0</v>
      </c>
    </row>
    <row r="7" spans="2:18" ht="21" customHeight="1" x14ac:dyDescent="0.3">
      <c r="B7" s="13"/>
      <c r="F7" s="17" t="str">
        <f>IF(Tablo13426[[#This Row],[SATIŞ]]=0,"Açık",(E7-D7)*C7-3)</f>
        <v>Açık</v>
      </c>
      <c r="G7" s="15">
        <f>IF(Tablo13426[[#This Row],[ALIŞ]]&gt;0,Tablo13426[[#This Row],[ADET]]*Tablo13426[[#This Row],[ALIŞ]]+1.5,0)</f>
        <v>0</v>
      </c>
      <c r="H7" s="15">
        <f>IF(Tablo13426[[#This Row],[SATIŞ]]&gt;0,(Tablo13426[[#This Row],[ADET]]*Tablo13426[[#This Row],[SATIŞ]]-1.5),0)</f>
        <v>0</v>
      </c>
    </row>
    <row r="8" spans="2:18" ht="21" customHeight="1" x14ac:dyDescent="0.3">
      <c r="B8" s="13"/>
      <c r="F8" s="17" t="str">
        <f>IF(Tablo13426[[#This Row],[SATIŞ]]=0,"Açık",(E8-D8)*C8-3)</f>
        <v>Açık</v>
      </c>
      <c r="G8" s="15">
        <f>IF(Tablo13426[[#This Row],[ALIŞ]]&gt;0,Tablo13426[[#This Row],[ADET]]*Tablo13426[[#This Row],[ALIŞ]]+1.5,0)</f>
        <v>0</v>
      </c>
      <c r="H8" s="15">
        <f>IF(Tablo13426[[#This Row],[SATIŞ]]&gt;0,(Tablo13426[[#This Row],[ADET]]*Tablo13426[[#This Row],[SATIŞ]]-1.5),0)</f>
        <v>0</v>
      </c>
    </row>
    <row r="9" spans="2:18" ht="21" customHeight="1" x14ac:dyDescent="0.3">
      <c r="B9" s="13"/>
      <c r="F9" s="17" t="str">
        <f>IF(Tablo13426[[#This Row],[SATIŞ]]=0,"Açık",(E9-D9)*C9-3)</f>
        <v>Açık</v>
      </c>
      <c r="G9" s="15">
        <f>IF(Tablo13426[[#This Row],[ALIŞ]]&gt;0,Tablo13426[[#This Row],[ADET]]*Tablo13426[[#This Row],[ALIŞ]]+1.5,0)</f>
        <v>0</v>
      </c>
      <c r="H9" s="15">
        <f>IF(Tablo13426[[#This Row],[SATIŞ]]&gt;0,(Tablo13426[[#This Row],[ADET]]*Tablo13426[[#This Row],[SATIŞ]]-1.5),0)</f>
        <v>0</v>
      </c>
    </row>
    <row r="10" spans="2:18" ht="21" customHeight="1" x14ac:dyDescent="0.3">
      <c r="B10" s="13"/>
      <c r="F10" s="17" t="str">
        <f>IF(Tablo13426[[#This Row],[SATIŞ]]=0,"Açık",(E10-D10)*C10-3)</f>
        <v>Açık</v>
      </c>
      <c r="G10" s="15">
        <f>IF(Tablo13426[[#This Row],[ALIŞ]]&gt;0,Tablo13426[[#This Row],[ADET]]*Tablo13426[[#This Row],[ALIŞ]]+1.5,0)</f>
        <v>0</v>
      </c>
      <c r="H10" s="15">
        <f>IF(Tablo13426[[#This Row],[SATIŞ]]&gt;0,(Tablo13426[[#This Row],[ADET]]*Tablo13426[[#This Row],[SATIŞ]]-1.5),0)</f>
        <v>0</v>
      </c>
    </row>
    <row r="11" spans="2:18" ht="21" customHeight="1" x14ac:dyDescent="0.3">
      <c r="B11" s="13"/>
      <c r="F11" s="17" t="str">
        <f>IF(Tablo13426[[#This Row],[SATIŞ]]=0,"Açık",(E11-D11)*C11-3)</f>
        <v>Açık</v>
      </c>
      <c r="G11" s="15">
        <f>IF(Tablo13426[[#This Row],[ALIŞ]]&gt;0,Tablo13426[[#This Row],[ADET]]*Tablo13426[[#This Row],[ALIŞ]]+1.5,0)</f>
        <v>0</v>
      </c>
      <c r="H11" s="15">
        <f>IF(Tablo13426[[#This Row],[SATIŞ]]&gt;0,(Tablo13426[[#This Row],[ADET]]*Tablo13426[[#This Row],[SATIŞ]]-1.5),0)</f>
        <v>0</v>
      </c>
      <c r="J11">
        <f>+Tablo13426[[#This Row],[ALIŞ]]*1.02</f>
        <v>0</v>
      </c>
    </row>
    <row r="12" spans="2:18" ht="21" customHeight="1" x14ac:dyDescent="0.3">
      <c r="B12" s="13"/>
      <c r="F12" s="17" t="str">
        <f>IF(Tablo13426[[#This Row],[SATIŞ]]=0,"Açık",(E12-D12)*C12-3)</f>
        <v>Açık</v>
      </c>
      <c r="G12" s="15">
        <f>IF(Tablo13426[[#This Row],[ALIŞ]]&gt;0,Tablo13426[[#This Row],[ADET]]*Tablo13426[[#This Row],[ALIŞ]]+1.5,0)</f>
        <v>0</v>
      </c>
      <c r="H12" s="15">
        <f>IF(Tablo13426[[#This Row],[SATIŞ]]&gt;0,(Tablo13426[[#This Row],[ADET]]*Tablo13426[[#This Row],[SATIŞ]]-1.5),0)</f>
        <v>0</v>
      </c>
    </row>
    <row r="13" spans="2:18" ht="21" customHeight="1" x14ac:dyDescent="0.3">
      <c r="B13" s="13"/>
      <c r="F13" s="17" t="str">
        <f>IF(Tablo13426[[#This Row],[SATIŞ]]=0,"Açık",(E13-D13)*C13-3)</f>
        <v>Açık</v>
      </c>
      <c r="G13" s="15">
        <f>IF(Tablo13426[[#This Row],[ALIŞ]]&gt;0,Tablo13426[[#This Row],[ADET]]*Tablo13426[[#This Row],[ALIŞ]]+1.5,0)</f>
        <v>0</v>
      </c>
      <c r="H13" s="15">
        <f>IF(Tablo13426[[#This Row],[SATIŞ]]&gt;0,(Tablo13426[[#This Row],[ADET]]*Tablo13426[[#This Row],[SATIŞ]]-1.5),0)</f>
        <v>0</v>
      </c>
    </row>
    <row r="14" spans="2:18" ht="21" customHeight="1" x14ac:dyDescent="0.3">
      <c r="B14" s="13"/>
      <c r="F14" s="17" t="str">
        <f>IF(Tablo13426[[#This Row],[SATIŞ]]=0,"Açık",(E14-D14)*C14-3)</f>
        <v>Açık</v>
      </c>
      <c r="G14" s="15">
        <f>IF(Tablo13426[[#This Row],[ALIŞ]]&gt;0,Tablo13426[[#This Row],[ADET]]*Tablo13426[[#This Row],[ALIŞ]]+1.5,0)</f>
        <v>0</v>
      </c>
      <c r="H14" s="15">
        <f>IF(Tablo13426[[#This Row],[SATIŞ]]&gt;0,(Tablo13426[[#This Row],[ADET]]*Tablo13426[[#This Row],[SATIŞ]]-1.5),0)</f>
        <v>0</v>
      </c>
    </row>
    <row r="15" spans="2:18" ht="21" customHeight="1" x14ac:dyDescent="0.3">
      <c r="B15" s="13"/>
      <c r="F15" s="17" t="str">
        <f>IF(Tablo13426[[#This Row],[SATIŞ]]=0,"Açık",(E15-D15)*C15-3)</f>
        <v>Açık</v>
      </c>
      <c r="G15" s="15">
        <f>IF(Tablo13426[[#This Row],[ALIŞ]]&gt;0,Tablo13426[[#This Row],[ADET]]*Tablo13426[[#This Row],[ALIŞ]]+1.5,0)</f>
        <v>0</v>
      </c>
      <c r="H15" s="15">
        <f>IF(Tablo13426[[#This Row],[SATIŞ]]&gt;0,(Tablo13426[[#This Row],[ADET]]*Tablo13426[[#This Row],[SATIŞ]]-1.5),0)</f>
        <v>0</v>
      </c>
    </row>
    <row r="16" spans="2:18" ht="21" customHeight="1" x14ac:dyDescent="0.3">
      <c r="B16" s="13"/>
      <c r="F16" s="17" t="str">
        <f>IF(Tablo13426[[#This Row],[SATIŞ]]=0,"Açık",(E16-D16)*C16-3)</f>
        <v>Açık</v>
      </c>
      <c r="G16" s="15">
        <f>IF(Tablo13426[[#This Row],[ALIŞ]]&gt;0,Tablo13426[[#This Row],[ADET]]*Tablo13426[[#This Row],[ALIŞ]]+1.5,0)</f>
        <v>0</v>
      </c>
      <c r="H16" s="15">
        <f>IF(Tablo13426[[#This Row],[SATIŞ]]&gt;0,(Tablo13426[[#This Row],[ADET]]*Tablo13426[[#This Row],[SATIŞ]]-1.5),0)</f>
        <v>0</v>
      </c>
    </row>
    <row r="17" spans="2:8" ht="21" customHeight="1" x14ac:dyDescent="0.3">
      <c r="B17" s="13"/>
      <c r="F17" s="17" t="str">
        <f>IF(Tablo13426[[#This Row],[SATIŞ]]=0,"Açık",(E17-D17)*C17-3)</f>
        <v>Açık</v>
      </c>
      <c r="G17" s="15">
        <f>IF(Tablo13426[[#This Row],[ALIŞ]]&gt;0,Tablo13426[[#This Row],[ADET]]*Tablo13426[[#This Row],[ALIŞ]]+1.5,0)</f>
        <v>0</v>
      </c>
      <c r="H17" s="15">
        <f>IF(Tablo13426[[#This Row],[SATIŞ]]&gt;0,(Tablo13426[[#This Row],[ADET]]*Tablo13426[[#This Row],[SATIŞ]]-1.5),0)</f>
        <v>0</v>
      </c>
    </row>
    <row r="18" spans="2:8" ht="21" customHeight="1" x14ac:dyDescent="0.3">
      <c r="B18" s="13"/>
      <c r="F18" s="17" t="str">
        <f>IF(Tablo13426[[#This Row],[SATIŞ]]=0,"Açık",(E18-D18)*C18-3)</f>
        <v>Açık</v>
      </c>
      <c r="G18" s="15">
        <f>IF(Tablo13426[[#This Row],[ALIŞ]]&gt;0,Tablo13426[[#This Row],[ADET]]*Tablo13426[[#This Row],[ALIŞ]]+1.5,0)</f>
        <v>0</v>
      </c>
      <c r="H18" s="15">
        <f>IF(Tablo13426[[#This Row],[SATIŞ]]&gt;0,(Tablo13426[[#This Row],[ADET]]*Tablo13426[[#This Row],[SATIŞ]]-1.5),0)</f>
        <v>0</v>
      </c>
    </row>
    <row r="19" spans="2:8" ht="21" customHeight="1" x14ac:dyDescent="0.3">
      <c r="B19" s="13"/>
      <c r="F19" s="17" t="str">
        <f>IF(Tablo13426[[#This Row],[SATIŞ]]=0,"Açık",(E19-D19)*C19-3)</f>
        <v>Açık</v>
      </c>
      <c r="G19" s="15">
        <f>IF(Tablo13426[[#This Row],[ALIŞ]]&gt;0,Tablo13426[[#This Row],[ADET]]*Tablo13426[[#This Row],[ALIŞ]]+1.5,0)</f>
        <v>0</v>
      </c>
      <c r="H19" s="15">
        <f>IF(Tablo13426[[#This Row],[SATIŞ]]&gt;0,(Tablo13426[[#This Row],[ADET]]*Tablo13426[[#This Row],[SATIŞ]]-1.5),0)</f>
        <v>0</v>
      </c>
    </row>
    <row r="20" spans="2:8" ht="21" customHeight="1" x14ac:dyDescent="0.3">
      <c r="B20" s="13"/>
      <c r="F20" s="17" t="str">
        <f>IF(Tablo13426[[#This Row],[SATIŞ]]=0,"Açık",(E20-D20)*C20-3)</f>
        <v>Açık</v>
      </c>
      <c r="G20" s="15">
        <f>IF(Tablo13426[[#This Row],[ALIŞ]]&gt;0,Tablo13426[[#This Row],[ADET]]*Tablo13426[[#This Row],[ALIŞ]]+1.5,0)</f>
        <v>0</v>
      </c>
      <c r="H20" s="15">
        <f>IF(Tablo13426[[#This Row],[SATIŞ]]&gt;0,(Tablo13426[[#This Row],[ADET]]*Tablo13426[[#This Row],[SATIŞ]]-1.5),0)</f>
        <v>0</v>
      </c>
    </row>
    <row r="21" spans="2:8" ht="21" customHeight="1" x14ac:dyDescent="0.3">
      <c r="B21" s="13"/>
      <c r="F21" s="17" t="str">
        <f>IF(Tablo13426[[#This Row],[SATIŞ]]=0,"Açık",(E21-D21)*C21-3)</f>
        <v>Açık</v>
      </c>
      <c r="G21" s="15">
        <f>IF(Tablo13426[[#This Row],[ALIŞ]]&gt;0,Tablo13426[[#This Row],[ADET]]*Tablo13426[[#This Row],[ALIŞ]]+1.5,0)</f>
        <v>0</v>
      </c>
      <c r="H21" s="15">
        <f>IF(Tablo13426[[#This Row],[SATIŞ]]&gt;0,(Tablo13426[[#This Row],[ADET]]*Tablo13426[[#This Row],[SATIŞ]]-1.5),0)</f>
        <v>0</v>
      </c>
    </row>
    <row r="22" spans="2:8" ht="21" customHeight="1" x14ac:dyDescent="0.3">
      <c r="B22" s="13"/>
      <c r="F22" s="17" t="str">
        <f>IF(Tablo13426[[#This Row],[SATIŞ]]=0,"Açık",(E22-D22)*C22-3)</f>
        <v>Açık</v>
      </c>
      <c r="G22" s="15">
        <f>IF(Tablo13426[[#This Row],[ALIŞ]]&gt;0,Tablo13426[[#This Row],[ADET]]*Tablo13426[[#This Row],[ALIŞ]]+1.5,0)</f>
        <v>0</v>
      </c>
      <c r="H22" s="15">
        <f>IF(Tablo13426[[#This Row],[SATIŞ]]&gt;0,(Tablo13426[[#This Row],[ADET]]*Tablo13426[[#This Row],[SATIŞ]]-1.5),0)</f>
        <v>0</v>
      </c>
    </row>
    <row r="23" spans="2:8" ht="21" customHeight="1" x14ac:dyDescent="0.3">
      <c r="B23" s="13"/>
      <c r="F23" s="17" t="str">
        <f>IF(Tablo13426[[#This Row],[SATIŞ]]=0,"Açık",(E23-D23)*C23-3)</f>
        <v>Açık</v>
      </c>
      <c r="G23" s="15">
        <f>IF(Tablo13426[[#This Row],[ALIŞ]]&gt;0,Tablo13426[[#This Row],[ADET]]*Tablo13426[[#This Row],[ALIŞ]]+1.5,0)</f>
        <v>0</v>
      </c>
      <c r="H23" s="15">
        <f>IF(Tablo13426[[#This Row],[SATIŞ]]&gt;0,(Tablo13426[[#This Row],[ADET]]*Tablo13426[[#This Row],[SATIŞ]]-1.5),0)</f>
        <v>0</v>
      </c>
    </row>
    <row r="24" spans="2:8" ht="21" customHeight="1" x14ac:dyDescent="0.3">
      <c r="B24" s="13"/>
      <c r="F24" s="17" t="str">
        <f>IF(Tablo13426[[#This Row],[SATIŞ]]=0,"Açık",(E24-D24)*C24-3)</f>
        <v>Açık</v>
      </c>
      <c r="G24" s="15">
        <f>IF(Tablo13426[[#This Row],[ALIŞ]]&gt;0,Tablo13426[[#This Row],[ADET]]*Tablo13426[[#This Row],[ALIŞ]]+1.5,0)</f>
        <v>0</v>
      </c>
      <c r="H24" s="15">
        <f>IF(Tablo13426[[#This Row],[SATIŞ]]&gt;0,(Tablo13426[[#This Row],[ADET]]*Tablo13426[[#This Row],[SATIŞ]]-1.5),0)</f>
        <v>0</v>
      </c>
    </row>
    <row r="25" spans="2:8" ht="21" customHeight="1" x14ac:dyDescent="0.3">
      <c r="B25" s="13"/>
      <c r="F25" s="17" t="str">
        <f>IF(Tablo13426[[#This Row],[SATIŞ]]=0,"Açık",(E25-D25)*C25-3)</f>
        <v>Açık</v>
      </c>
      <c r="G25" s="15">
        <f>IF(Tablo13426[[#This Row],[ALIŞ]]&gt;0,Tablo13426[[#This Row],[ADET]]*Tablo13426[[#This Row],[ALIŞ]]+1.5,0)</f>
        <v>0</v>
      </c>
      <c r="H25" s="15">
        <f>IF(Tablo13426[[#This Row],[SATIŞ]]&gt;0,(Tablo13426[[#This Row],[ADET]]*Tablo13426[[#This Row],[SATIŞ]]-1.5),0)</f>
        <v>0</v>
      </c>
    </row>
    <row r="26" spans="2:8" ht="21" customHeight="1" x14ac:dyDescent="0.3">
      <c r="B26" s="13"/>
      <c r="F26" s="17" t="str">
        <f>IF(Tablo13426[[#This Row],[SATIŞ]]=0,"Açık",(E26-D26)*C26-3)</f>
        <v>Açık</v>
      </c>
      <c r="G26" s="15">
        <f>IF(Tablo13426[[#This Row],[ALIŞ]]&gt;0,Tablo13426[[#This Row],[ADET]]*Tablo13426[[#This Row],[ALIŞ]]+1.5,0)</f>
        <v>0</v>
      </c>
      <c r="H26" s="15">
        <f>IF(Tablo13426[[#This Row],[SATIŞ]]&gt;0,(Tablo13426[[#This Row],[ADET]]*Tablo13426[[#This Row],[SATIŞ]]-1.5),0)</f>
        <v>0</v>
      </c>
    </row>
    <row r="27" spans="2:8" ht="21" customHeight="1" x14ac:dyDescent="0.3">
      <c r="B27" s="13"/>
      <c r="F27" s="17" t="str">
        <f>IF(Tablo13426[[#This Row],[SATIŞ]]=0,"Açık",(E27-D27)*C27-3)</f>
        <v>Açık</v>
      </c>
      <c r="G27" s="15">
        <f>IF(Tablo13426[[#This Row],[ALIŞ]]&gt;0,Tablo13426[[#This Row],[ADET]]*Tablo13426[[#This Row],[ALIŞ]]+1.5,0)</f>
        <v>0</v>
      </c>
      <c r="H27" s="15">
        <f>IF(Tablo13426[[#This Row],[SATIŞ]]&gt;0,(Tablo13426[[#This Row],[ADET]]*Tablo13426[[#This Row],[SATIŞ]]-1.5),0)</f>
        <v>0</v>
      </c>
    </row>
  </sheetData>
  <conditionalFormatting sqref="B4:E4 B5:F27">
    <cfRule type="expression" dxfId="131" priority="4">
      <formula>$F4&lt;0</formula>
    </cfRule>
    <cfRule type="expression" dxfId="130" priority="5">
      <formula>$F4="Açık"</formula>
    </cfRule>
    <cfRule type="expression" dxfId="129" priority="6">
      <formula>$F4&gt;0</formula>
    </cfRule>
  </conditionalFormatting>
  <conditionalFormatting sqref="F4">
    <cfRule type="expression" dxfId="128" priority="1">
      <formula>$F4&lt;0</formula>
    </cfRule>
    <cfRule type="expression" dxfId="127" priority="2">
      <formula>$F4="Açık"</formula>
    </cfRule>
    <cfRule type="expression" dxfId="126" priority="3">
      <formula>$F4&gt;0</formula>
    </cfRule>
  </conditionalFormatting>
  <hyperlinks>
    <hyperlink ref="B1" location="İcmal!A1" display="ANA SAYFA" xr:uid="{B971A1DE-5ADA-4917-8739-2EA263280A57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2376-1A46-4D03-AF74-A8CB1AAEF4F9}">
  <dimension ref="B1:R27"/>
  <sheetViews>
    <sheetView workbookViewId="0">
      <selection activeCell="F5" sqref="F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SUMIF(Tablo1348[KAR],"Açık",Tablo1348[ADET])</f>
        <v>0</v>
      </c>
      <c r="D1" s="3"/>
      <c r="E1" s="3">
        <f>C1*D1</f>
        <v>0</v>
      </c>
      <c r="F1" s="3" t="str">
        <f>IFERROR(((SUM(Tablo1348[ALIŞ TUTAR])-SUM(Tablo1348[SATIŞ TUTAR]))/C1),"")</f>
        <v/>
      </c>
      <c r="G1" s="3">
        <f>IF(M3=0,L3,C1*(D1-F1))</f>
        <v>3.2499999999999982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SUM(Tablo1348[KAR])</f>
        <v>3.2499999999999982</v>
      </c>
      <c r="M3" s="12">
        <f>C1</f>
        <v>0</v>
      </c>
    </row>
    <row r="4" spans="2:18" ht="21" customHeight="1" x14ac:dyDescent="0.3">
      <c r="B4" s="13">
        <v>44743</v>
      </c>
      <c r="C4" s="8">
        <v>250</v>
      </c>
      <c r="D4" s="3">
        <v>0.2</v>
      </c>
      <c r="E4" s="3">
        <v>0.22500000000000001</v>
      </c>
      <c r="F4" s="14">
        <f>IF(Tablo1348[[#This Row],[SATIŞ]]=0,"Açık",(E4-D4)*C4-3)</f>
        <v>3.2499999999999982</v>
      </c>
      <c r="G4" s="15">
        <f>IF(Tablo1348[[#This Row],[ALIŞ]]&gt;0,Tablo1348[[#This Row],[ADET]]*Tablo1348[[#This Row],[ALIŞ]]+1.5,0)</f>
        <v>51.5</v>
      </c>
      <c r="H4" s="15">
        <f>IF(Tablo1348[[#This Row],[SATIŞ]]&gt;0,(Tablo1348[[#This Row],[ADET]]*Tablo1348[[#This Row],[SATIŞ]]-1.5),0)</f>
        <v>54.75</v>
      </c>
      <c r="L4" s="5"/>
      <c r="M4" s="5"/>
      <c r="N4" s="5"/>
    </row>
    <row r="5" spans="2:18" ht="21" customHeight="1" x14ac:dyDescent="0.3">
      <c r="B5" s="13"/>
      <c r="D5" s="3"/>
      <c r="E5" s="3"/>
      <c r="F5" s="14" t="str">
        <f>IF(Tablo1348[[#This Row],[SATIŞ]]=0,"Açık",(E5-D5)*C5-3)</f>
        <v>Açık</v>
      </c>
      <c r="G5" s="15">
        <f>IF(Tablo1348[[#This Row],[ALIŞ]]&gt;0,Tablo1348[[#This Row],[ADET]]*Tablo1348[[#This Row],[ALIŞ]]+1.5,0)</f>
        <v>0</v>
      </c>
      <c r="H5" s="15">
        <f>IF(Tablo1348[[#This Row],[SATIŞ]]&gt;0,(Tablo1348[[#This Row],[ADET]]*Tablo1348[[#This Row],[SATIŞ]]-1.5),0)</f>
        <v>0</v>
      </c>
    </row>
    <row r="6" spans="2:18" ht="21" customHeight="1" x14ac:dyDescent="0.3">
      <c r="B6" s="13"/>
      <c r="D6" s="3"/>
      <c r="E6" s="3"/>
      <c r="F6" s="14" t="str">
        <f>IF(Tablo1348[[#This Row],[SATIŞ]]=0,"Açık",(E6-D6)*C6-3)</f>
        <v>Açık</v>
      </c>
      <c r="G6" s="15">
        <f>IF(Tablo1348[[#This Row],[ALIŞ]]&gt;0,Tablo1348[[#This Row],[ADET]]*Tablo1348[[#This Row],[ALIŞ]]+1.5,0)</f>
        <v>0</v>
      </c>
      <c r="H6" s="15">
        <f>IF(Tablo1348[[#This Row],[SATIŞ]]&gt;0,(Tablo1348[[#This Row],[ADET]]*Tablo1348[[#This Row],[SATIŞ]]-1.5),0)</f>
        <v>0</v>
      </c>
    </row>
    <row r="7" spans="2:18" ht="21" customHeight="1" x14ac:dyDescent="0.3">
      <c r="B7" s="13"/>
      <c r="D7" s="3"/>
      <c r="E7" s="3"/>
      <c r="F7" s="14" t="str">
        <f>IF(Tablo1348[[#This Row],[SATIŞ]]=0,"Açık",(E7-D7)*C7-3)</f>
        <v>Açık</v>
      </c>
      <c r="G7" s="15">
        <f>IF(Tablo1348[[#This Row],[ALIŞ]]&gt;0,Tablo1348[[#This Row],[ADET]]*Tablo1348[[#This Row],[ALIŞ]]+1.5,0)</f>
        <v>0</v>
      </c>
      <c r="H7" s="15">
        <f>IF(Tablo1348[[#This Row],[SATIŞ]]&gt;0,(Tablo1348[[#This Row],[ADET]]*Tablo1348[[#This Row],[SATIŞ]]-1.5),0)</f>
        <v>0</v>
      </c>
    </row>
    <row r="8" spans="2:18" ht="21" customHeight="1" x14ac:dyDescent="0.3">
      <c r="B8" s="13"/>
      <c r="D8" s="3"/>
      <c r="E8" s="3"/>
      <c r="F8" s="14" t="str">
        <f>IF(Tablo1348[[#This Row],[SATIŞ]]=0,"Açık",(E8-D8)*C8-3)</f>
        <v>Açık</v>
      </c>
      <c r="G8" s="15">
        <f>IF(Tablo1348[[#This Row],[ALIŞ]]&gt;0,Tablo1348[[#This Row],[ADET]]*Tablo1348[[#This Row],[ALIŞ]]+1.5,0)</f>
        <v>0</v>
      </c>
      <c r="H8" s="15">
        <f>IF(Tablo1348[[#This Row],[SATIŞ]]&gt;0,(Tablo1348[[#This Row],[ADET]]*Tablo1348[[#This Row],[SATIŞ]]-1.5),0)</f>
        <v>0</v>
      </c>
    </row>
    <row r="9" spans="2:18" ht="21" customHeight="1" x14ac:dyDescent="0.3">
      <c r="B9" s="13"/>
      <c r="D9" s="3"/>
      <c r="E9" s="3"/>
      <c r="F9" s="14" t="str">
        <f>IF(Tablo1348[[#This Row],[SATIŞ]]=0,"Açık",(E9-D9)*C9-3)</f>
        <v>Açık</v>
      </c>
      <c r="G9" s="15">
        <f>IF(Tablo1348[[#This Row],[ALIŞ]]&gt;0,Tablo1348[[#This Row],[ADET]]*Tablo1348[[#This Row],[ALIŞ]]+1.5,0)</f>
        <v>0</v>
      </c>
      <c r="H9" s="15">
        <f>IF(Tablo1348[[#This Row],[SATIŞ]]&gt;0,(Tablo1348[[#This Row],[ADET]]*Tablo1348[[#This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IF(Tablo1348[[#This Row],[SATIŞ]]=0,"Açık",(E10-D10)*C10-3)</f>
        <v>Açık</v>
      </c>
      <c r="G10" s="15">
        <f>IF(Tablo1348[[#This Row],[ALIŞ]]&gt;0,Tablo1348[[#This Row],[ADET]]*Tablo1348[[#This Row],[ALIŞ]]+1.5,0)</f>
        <v>0</v>
      </c>
      <c r="H10" s="15">
        <f>IF(Tablo1348[[#This Row],[SATIŞ]]&gt;0,(Tablo1348[[#This Row],[ADET]]*Tablo1348[[#This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IF(Tablo1348[[#This Row],[SATIŞ]]=0,"Açık",(E11-D11)*C11-3)</f>
        <v>Açık</v>
      </c>
      <c r="G11" s="15">
        <f>IF(Tablo1348[[#This Row],[ALIŞ]]&gt;0,Tablo1348[[#This Row],[ADET]]*Tablo1348[[#This Row],[ALIŞ]]+1.5,0)</f>
        <v>0</v>
      </c>
      <c r="H11" s="15">
        <f>IF(Tablo1348[[#This Row],[SATIŞ]]&gt;0,(Tablo1348[[#This Row],[ADET]]*Tablo1348[[#This Row],[SATIŞ]]-1.5),0)</f>
        <v>0</v>
      </c>
      <c r="J11">
        <f>+Tablo1348[[#This Row],[ALIŞ]]*1.02</f>
        <v>0</v>
      </c>
    </row>
    <row r="12" spans="2:18" ht="21" customHeight="1" x14ac:dyDescent="0.3">
      <c r="B12" s="13"/>
      <c r="D12" s="3"/>
      <c r="E12" s="3"/>
      <c r="F12" s="14" t="str">
        <f>IF(Tablo1348[[#This Row],[SATIŞ]]=0,"Açık",(E12-D12)*C12-3)</f>
        <v>Açık</v>
      </c>
      <c r="G12" s="15">
        <f>IF(Tablo1348[[#This Row],[ALIŞ]]&gt;0,Tablo1348[[#This Row],[ADET]]*Tablo1348[[#This Row],[ALIŞ]]+1.5,0)</f>
        <v>0</v>
      </c>
      <c r="H12" s="15">
        <f>IF(Tablo1348[[#This Row],[SATIŞ]]&gt;0,(Tablo1348[[#This Row],[ADET]]*Tablo1348[[#This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IF(Tablo1348[[#This Row],[SATIŞ]]=0,"Açık",(E13-D13)*C13-3)</f>
        <v>Açık</v>
      </c>
      <c r="G13" s="15">
        <f>IF(Tablo1348[[#This Row],[ALIŞ]]&gt;0,Tablo1348[[#This Row],[ADET]]*Tablo1348[[#This Row],[ALIŞ]]+1.5,0)</f>
        <v>0</v>
      </c>
      <c r="H13" s="15">
        <f>IF(Tablo1348[[#This Row],[SATIŞ]]&gt;0,(Tablo1348[[#This Row],[ADET]]*Tablo1348[[#This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IF(Tablo1348[[#This Row],[SATIŞ]]=0,"Açık",(E14-D14)*C14-3)</f>
        <v>Açık</v>
      </c>
      <c r="G14" s="15">
        <f>IF(Tablo1348[[#This Row],[ALIŞ]]&gt;0,Tablo1348[[#This Row],[ADET]]*Tablo1348[[#This Row],[ALIŞ]]+1.5,0)</f>
        <v>0</v>
      </c>
      <c r="H14" s="15">
        <f>IF(Tablo1348[[#This Row],[SATIŞ]]&gt;0,(Tablo1348[[#This Row],[ADET]]*Tablo1348[[#This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IF(Tablo1348[[#This Row],[SATIŞ]]=0,"Açık",(E15-D15)*C15-3)</f>
        <v>Açık</v>
      </c>
      <c r="G15" s="15">
        <f>IF(Tablo1348[[#This Row],[ALIŞ]]&gt;0,Tablo1348[[#This Row],[ADET]]*Tablo1348[[#This Row],[ALIŞ]]+1.5,0)</f>
        <v>0</v>
      </c>
      <c r="H15" s="15">
        <f>IF(Tablo1348[[#This Row],[SATIŞ]]&gt;0,(Tablo1348[[#This Row],[ADET]]*Tablo1348[[#This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IF(Tablo1348[[#This Row],[SATIŞ]]=0,"Açık",(E16-D16)*C16-3)</f>
        <v>Açık</v>
      </c>
      <c r="G16" s="15">
        <f>IF(Tablo1348[[#This Row],[ALIŞ]]&gt;0,Tablo1348[[#This Row],[ADET]]*Tablo1348[[#This Row],[ALIŞ]]+1.5,0)</f>
        <v>0</v>
      </c>
      <c r="H16" s="15">
        <f>IF(Tablo1348[[#This Row],[SATIŞ]]&gt;0,(Tablo1348[[#This Row],[ADET]]*Tablo1348[[#This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IF(Tablo1348[[#This Row],[SATIŞ]]=0,"Açık",(E17-D17)*C17-3)</f>
        <v>Açık</v>
      </c>
      <c r="G17" s="15">
        <f>IF(Tablo1348[[#This Row],[ALIŞ]]&gt;0,Tablo1348[[#This Row],[ADET]]*Tablo1348[[#This Row],[ALIŞ]]+1.5,0)</f>
        <v>0</v>
      </c>
      <c r="H17" s="15">
        <f>IF(Tablo1348[[#This Row],[SATIŞ]]&gt;0,(Tablo1348[[#This Row],[ADET]]*Tablo1348[[#This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IF(Tablo1348[[#This Row],[SATIŞ]]=0,"Açık",(E18-D18)*C18-3)</f>
        <v>Açık</v>
      </c>
      <c r="G18" s="15">
        <f>IF(Tablo1348[[#This Row],[ALIŞ]]&gt;0,Tablo1348[[#This Row],[ADET]]*Tablo1348[[#This Row],[ALIŞ]]+1.5,0)</f>
        <v>0</v>
      </c>
      <c r="H18" s="15">
        <f>IF(Tablo1348[[#This Row],[SATIŞ]]&gt;0,(Tablo1348[[#This Row],[ADET]]*Tablo1348[[#This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IF(Tablo1348[[#This Row],[SATIŞ]]=0,"Açık",(E19-D19)*C19-3)</f>
        <v>Açık</v>
      </c>
      <c r="G19" s="15">
        <f>IF(Tablo1348[[#This Row],[ALIŞ]]&gt;0,Tablo1348[[#This Row],[ADET]]*Tablo1348[[#This Row],[ALIŞ]]+1.5,0)</f>
        <v>0</v>
      </c>
      <c r="H19" s="15">
        <f>IF(Tablo1348[[#This Row],[SATIŞ]]&gt;0,(Tablo1348[[#This Row],[ADET]]*Tablo1348[[#This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IF(Tablo1348[[#This Row],[SATIŞ]]=0,"Açık",(E20-D20)*C20-3)</f>
        <v>Açık</v>
      </c>
      <c r="G20" s="15">
        <f>IF(Tablo1348[[#This Row],[ALIŞ]]&gt;0,Tablo1348[[#This Row],[ADET]]*Tablo1348[[#This Row],[ALIŞ]]+1.5,0)</f>
        <v>0</v>
      </c>
      <c r="H20" s="15">
        <f>IF(Tablo1348[[#This Row],[SATIŞ]]&gt;0,(Tablo1348[[#This Row],[ADET]]*Tablo1348[[#This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IF(Tablo1348[[#This Row],[SATIŞ]]=0,"Açık",(E21-D21)*C21-3)</f>
        <v>Açık</v>
      </c>
      <c r="G21" s="15">
        <f>IF(Tablo1348[[#This Row],[ALIŞ]]&gt;0,Tablo1348[[#This Row],[ADET]]*Tablo1348[[#This Row],[ALIŞ]]+1.5,0)</f>
        <v>0</v>
      </c>
      <c r="H21" s="15">
        <f>IF(Tablo1348[[#This Row],[SATIŞ]]&gt;0,(Tablo1348[[#This Row],[ADET]]*Tablo1348[[#This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IF(Tablo1348[[#This Row],[SATIŞ]]=0,"Açık",(E22-D22)*C22-3)</f>
        <v>Açık</v>
      </c>
      <c r="G22" s="15">
        <f>IF(Tablo1348[[#This Row],[ALIŞ]]&gt;0,Tablo1348[[#This Row],[ADET]]*Tablo1348[[#This Row],[ALIŞ]]+1.5,0)</f>
        <v>0</v>
      </c>
      <c r="H22" s="15">
        <f>IF(Tablo1348[[#This Row],[SATIŞ]]&gt;0,(Tablo1348[[#This Row],[ADET]]*Tablo1348[[#This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IF(Tablo1348[[#This Row],[SATIŞ]]=0,"Açık",(E23-D23)*C23-3)</f>
        <v>Açık</v>
      </c>
      <c r="G23" s="15">
        <f>IF(Tablo1348[[#This Row],[ALIŞ]]&gt;0,Tablo1348[[#This Row],[ADET]]*Tablo1348[[#This Row],[ALIŞ]]+1.5,0)</f>
        <v>0</v>
      </c>
      <c r="H23" s="15">
        <f>IF(Tablo1348[[#This Row],[SATIŞ]]&gt;0,(Tablo1348[[#This Row],[ADET]]*Tablo1348[[#This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IF(Tablo1348[[#This Row],[SATIŞ]]=0,"Açık",(E24-D24)*C24-3)</f>
        <v>Açık</v>
      </c>
      <c r="G24" s="15">
        <f>IF(Tablo1348[[#This Row],[ALIŞ]]&gt;0,Tablo1348[[#This Row],[ADET]]*Tablo1348[[#This Row],[ALIŞ]]+1.5,0)</f>
        <v>0</v>
      </c>
      <c r="H24" s="15">
        <f>IF(Tablo1348[[#This Row],[SATIŞ]]&gt;0,(Tablo1348[[#This Row],[ADET]]*Tablo1348[[#This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IF(Tablo1348[[#This Row],[SATIŞ]]=0,"Açık",(E25-D25)*C25-3)</f>
        <v>Açık</v>
      </c>
      <c r="G25" s="15">
        <f>IF(Tablo1348[[#This Row],[ALIŞ]]&gt;0,Tablo1348[[#This Row],[ADET]]*Tablo1348[[#This Row],[ALIŞ]]+1.5,0)</f>
        <v>0</v>
      </c>
      <c r="H25" s="15">
        <f>IF(Tablo1348[[#This Row],[SATIŞ]]&gt;0,(Tablo1348[[#This Row],[ADET]]*Tablo1348[[#This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IF(Tablo1348[[#This Row],[SATIŞ]]=0,"Açık",(E26-D26)*C26-3)</f>
        <v>Açık</v>
      </c>
      <c r="G26" s="15">
        <f>IF(Tablo1348[[#This Row],[ALIŞ]]&gt;0,Tablo1348[[#This Row],[ADET]]*Tablo1348[[#This Row],[ALIŞ]]+1.5,0)</f>
        <v>0</v>
      </c>
      <c r="H26" s="15">
        <f>IF(Tablo1348[[#This Row],[SATIŞ]]&gt;0,(Tablo1348[[#This Row],[ADET]]*Tablo1348[[#This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IF(Tablo1348[[#This Row],[SATIŞ]]=0,"Açık",(E27-D27)*C27-3)</f>
        <v>Açık</v>
      </c>
      <c r="G27" s="15">
        <f>IF(Tablo1348[[#This Row],[ALIŞ]]&gt;0,Tablo1348[[#This Row],[ADET]]*Tablo1348[[#This Row],[ALIŞ]]+1.5,0)</f>
        <v>0</v>
      </c>
      <c r="H27" s="15">
        <f>IF(Tablo1348[[#This Row],[SATIŞ]]&gt;0,(Tablo1348[[#This Row],[ADET]]*Tablo1348[[#This Row],[SATIŞ]]-1.5),0)</f>
        <v>0</v>
      </c>
    </row>
  </sheetData>
  <conditionalFormatting sqref="B4:E4 B5:F27">
    <cfRule type="expression" dxfId="125" priority="4">
      <formula>$F4&lt;0</formula>
    </cfRule>
    <cfRule type="expression" dxfId="124" priority="5">
      <formula>$F4="Açık"</formula>
    </cfRule>
    <cfRule type="expression" dxfId="123" priority="6">
      <formula>$F4&gt;0</formula>
    </cfRule>
  </conditionalFormatting>
  <conditionalFormatting sqref="F4">
    <cfRule type="expression" dxfId="122" priority="1">
      <formula>$F4&lt;0</formula>
    </cfRule>
    <cfRule type="expression" dxfId="121" priority="2">
      <formula>$F4="Açık"</formula>
    </cfRule>
    <cfRule type="expression" dxfId="120" priority="3">
      <formula>$F4&gt;0</formula>
    </cfRule>
  </conditionalFormatting>
  <hyperlinks>
    <hyperlink ref="B1" location="İcmal!A1" display="ANA SAYFA" xr:uid="{B4FC8DA4-1C80-4B83-9653-80366F1E4661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B64B-505B-4ECD-9423-4612256D5226}">
  <dimension ref="B1:R27"/>
  <sheetViews>
    <sheetView workbookViewId="0">
      <selection activeCell="E14" sqref="E14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SUMIF(Tablo13411[KAR],"Açık",Tablo13411[ADET])</f>
        <v>28</v>
      </c>
      <c r="D1" s="3">
        <f>+İcmal!E20</f>
        <v>132.66999999999999</v>
      </c>
      <c r="E1" s="3">
        <f>C1*D1</f>
        <v>3714.7599999999998</v>
      </c>
      <c r="F1" s="3">
        <f>IFERROR(((SUM(Tablo13411[ALIŞ TUTAR])-SUM(Tablo13411[SATIŞ TUTAR]))/C1),"")</f>
        <v>148.55678571428572</v>
      </c>
      <c r="G1" s="3">
        <f>IF(M3=0,L3,C1*(D1-F1))</f>
        <v>-444.83000000000061</v>
      </c>
      <c r="J1" s="4">
        <v>0.02</v>
      </c>
      <c r="L1" s="5">
        <f>M1*(1-$J$1)</f>
        <v>145.58565000000002</v>
      </c>
      <c r="M1" s="6">
        <f>F1</f>
        <v>148.55678571428572</v>
      </c>
      <c r="N1" s="5">
        <f>M1*(1+$J$1)</f>
        <v>151.52792142857143</v>
      </c>
      <c r="P1" s="5">
        <f>Q1*(1-$J$1)</f>
        <v>130.01659999999998</v>
      </c>
      <c r="Q1" s="6">
        <f>+D1</f>
        <v>132.66999999999999</v>
      </c>
      <c r="R1" s="5">
        <f>Q1*(1+$J$1)</f>
        <v>135.32339999999999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SUM(Tablo13411[KAR])</f>
        <v>-194.15000000000003</v>
      </c>
      <c r="M3" s="12">
        <f>C1</f>
        <v>28</v>
      </c>
    </row>
    <row r="4" spans="2:18" ht="21" customHeight="1" x14ac:dyDescent="0.3">
      <c r="B4" s="13">
        <v>44760</v>
      </c>
      <c r="C4" s="8">
        <v>3</v>
      </c>
      <c r="D4" s="3">
        <v>111</v>
      </c>
      <c r="E4" s="3">
        <v>113</v>
      </c>
      <c r="F4" s="14">
        <f>IF(Tablo13411[[#This Row],[SATIŞ]]=0,"Açık",(E4-D4)*C4-3)</f>
        <v>3</v>
      </c>
      <c r="G4" s="15">
        <f>IF(Tablo13411[[#This Row],[ALIŞ]]&gt;0,Tablo13411[[#This Row],[ADET]]*Tablo13411[[#This Row],[ALIŞ]]+1.5,0)</f>
        <v>334.5</v>
      </c>
      <c r="H4" s="15">
        <f>IF(Tablo13411[[#This Row],[SATIŞ]]&gt;0,(Tablo13411[[#This Row],[ADET]]*Tablo13411[[#This Row],[SATIŞ]]-1.5),0)</f>
        <v>337.5</v>
      </c>
      <c r="L4" s="5"/>
      <c r="M4" s="5"/>
      <c r="N4" s="5"/>
    </row>
    <row r="5" spans="2:18" ht="21" customHeight="1" x14ac:dyDescent="0.3">
      <c r="B5" s="13">
        <v>44763</v>
      </c>
      <c r="C5" s="8">
        <v>4</v>
      </c>
      <c r="D5" s="3">
        <v>112.5</v>
      </c>
      <c r="E5" s="3">
        <v>112.5</v>
      </c>
      <c r="F5" s="14">
        <f>IF(Tablo13411[[#This Row],[SATIŞ]]=0,"Açık",(E5-D5)*C5-3)</f>
        <v>-3</v>
      </c>
      <c r="G5" s="15">
        <f>IF(Tablo13411[[#This Row],[ALIŞ]]&gt;0,Tablo13411[[#This Row],[ADET]]*Tablo13411[[#This Row],[ALIŞ]]+1.5,0)</f>
        <v>451.5</v>
      </c>
      <c r="H5" s="15">
        <f>IF(Tablo13411[[#This Row],[SATIŞ]]&gt;0,(Tablo13411[[#This Row],[ADET]]*Tablo13411[[#This Row],[SATIŞ]]-1.5),0)</f>
        <v>448.5</v>
      </c>
    </row>
    <row r="6" spans="2:18" ht="21" customHeight="1" x14ac:dyDescent="0.3">
      <c r="B6" s="13">
        <v>44763</v>
      </c>
      <c r="C6" s="8">
        <v>3</v>
      </c>
      <c r="D6" s="3">
        <v>111.5</v>
      </c>
      <c r="E6" s="3">
        <v>112.5</v>
      </c>
      <c r="F6" s="14">
        <f>IF(Tablo13411[[#This Row],[SATIŞ]]=0,"Açık",(E6-D6)*C6-3)</f>
        <v>0</v>
      </c>
      <c r="G6" s="15">
        <f>IF(Tablo13411[[#This Row],[ALIŞ]]&gt;0,Tablo13411[[#This Row],[ADET]]*Tablo13411[[#This Row],[ALIŞ]]+1.5,0)</f>
        <v>336</v>
      </c>
      <c r="H6" s="15">
        <f>IF(Tablo13411[[#This Row],[SATIŞ]]&gt;0,(Tablo13411[[#This Row],[ADET]]*Tablo13411[[#This Row],[SATIŞ]]-1.5),0)</f>
        <v>336</v>
      </c>
    </row>
    <row r="7" spans="2:18" ht="21" customHeight="1" x14ac:dyDescent="0.3">
      <c r="B7" s="13">
        <v>44774</v>
      </c>
      <c r="C7" s="8">
        <v>5</v>
      </c>
      <c r="D7" s="3">
        <v>115.43</v>
      </c>
      <c r="E7" s="3">
        <v>116</v>
      </c>
      <c r="F7" s="14">
        <f>IF(Tablo13411[[#This Row],[SATIŞ]]=0,"Açık",(E7-D7)*C7-3)</f>
        <v>-0.15000000000003411</v>
      </c>
      <c r="G7" s="15">
        <f>IF(Tablo13411[[#This Row],[ALIŞ]]&gt;0,Tablo13411[[#This Row],[ADET]]*Tablo13411[[#This Row],[ALIŞ]]+1.5,0)</f>
        <v>578.65000000000009</v>
      </c>
      <c r="H7" s="15">
        <f>IF(Tablo13411[[#This Row],[SATIŞ]]&gt;0,(Tablo13411[[#This Row],[ADET]]*Tablo13411[[#This Row],[SATIŞ]]-1.5),0)</f>
        <v>578.5</v>
      </c>
    </row>
    <row r="8" spans="2:18" ht="21" customHeight="1" x14ac:dyDescent="0.3">
      <c r="B8" s="13">
        <v>44791</v>
      </c>
      <c r="C8" s="8">
        <v>9</v>
      </c>
      <c r="D8" s="3">
        <v>119</v>
      </c>
      <c r="E8" s="3">
        <v>97</v>
      </c>
      <c r="F8" s="14">
        <f>IF(Tablo13411[[#This Row],[SATIŞ]]=0,"Açık",(E8-D8)*C8-3)</f>
        <v>-201</v>
      </c>
      <c r="G8" s="15">
        <f>IF(Tablo13411[[#This Row],[ALIŞ]]&gt;0,Tablo13411[[#This Row],[ADET]]*Tablo13411[[#This Row],[ALIŞ]]+1.5,0)</f>
        <v>1072.5</v>
      </c>
      <c r="H8" s="15">
        <f>IF(Tablo13411[[#This Row],[SATIŞ]]&gt;0,(Tablo13411[[#This Row],[ADET]]*Tablo13411[[#This Row],[SATIŞ]]-1.5),0)</f>
        <v>871.5</v>
      </c>
    </row>
    <row r="9" spans="2:18" ht="21" customHeight="1" x14ac:dyDescent="0.3">
      <c r="B9" s="13">
        <v>45328</v>
      </c>
      <c r="C9" s="8">
        <v>7</v>
      </c>
      <c r="D9" s="3">
        <v>144</v>
      </c>
      <c r="E9" s="3"/>
      <c r="F9" s="14" t="str">
        <f>IF(Tablo13411[[#This Row],[SATIŞ]]=0,"Açık",(E9-D9)*C9-3)</f>
        <v>Açık</v>
      </c>
      <c r="G9" s="15">
        <f>IF(Tablo13411[[#This Row],[ALIŞ]]&gt;0,Tablo13411[[#This Row],[ADET]]*Tablo13411[[#This Row],[ALIŞ]]+1.5,0)</f>
        <v>1009.5</v>
      </c>
      <c r="H9" s="15">
        <f>IF(Tablo13411[[#This Row],[SATIŞ]]&gt;0,(Tablo13411[[#This Row],[ADET]]*Tablo13411[[#This Row],[SATIŞ]]-1.5),0)</f>
        <v>0</v>
      </c>
    </row>
    <row r="10" spans="2:18" ht="21" customHeight="1" x14ac:dyDescent="0.3">
      <c r="B10" s="13">
        <v>45337</v>
      </c>
      <c r="C10" s="8">
        <v>8</v>
      </c>
      <c r="D10" s="3">
        <v>142.36000000000001</v>
      </c>
      <c r="E10" s="3"/>
      <c r="F10" s="14" t="str">
        <f>IF(Tablo13411[[#This Row],[SATIŞ]]=0,"Açık",(E10-D10)*C10-3)</f>
        <v>Açık</v>
      </c>
      <c r="G10" s="15">
        <f>IF(Tablo13411[[#This Row],[ALIŞ]]&gt;0,Tablo13411[[#This Row],[ADET]]*Tablo13411[[#This Row],[ALIŞ]]+1.5,0)</f>
        <v>1140.3800000000001</v>
      </c>
      <c r="H10" s="15">
        <f>IF(Tablo13411[[#This Row],[SATIŞ]]&gt;0,(Tablo13411[[#This Row],[ADET]]*Tablo13411[[#This Row],[SATIŞ]]-1.5),0)</f>
        <v>0</v>
      </c>
    </row>
    <row r="11" spans="2:18" ht="21" customHeight="1" x14ac:dyDescent="0.3">
      <c r="B11" s="13">
        <v>45348</v>
      </c>
      <c r="C11" s="8">
        <v>8</v>
      </c>
      <c r="D11" s="3">
        <v>140.32</v>
      </c>
      <c r="E11" s="3"/>
      <c r="F11" s="14" t="str">
        <f>IF(Tablo13411[[#This Row],[SATIŞ]]=0,"Açık",(E11-D11)*C11-3)</f>
        <v>Açık</v>
      </c>
      <c r="G11" s="15">
        <f>IF(Tablo13411[[#This Row],[ALIŞ]]&gt;0,Tablo13411[[#This Row],[ADET]]*Tablo13411[[#This Row],[ALIŞ]]+1.5,0)</f>
        <v>1124.06</v>
      </c>
      <c r="H11" s="15">
        <f>IF(Tablo13411[[#This Row],[SATIŞ]]&gt;0,(Tablo13411[[#This Row],[ADET]]*Tablo13411[[#This Row],[SATIŞ]]-1.5),0)</f>
        <v>0</v>
      </c>
      <c r="J11">
        <f>+Tablo13411[[#This Row],[ALIŞ]]*1.02</f>
        <v>143.12639999999999</v>
      </c>
    </row>
    <row r="12" spans="2:18" ht="21" customHeight="1" x14ac:dyDescent="0.3">
      <c r="B12" s="13">
        <v>45349</v>
      </c>
      <c r="C12" s="8">
        <v>5</v>
      </c>
      <c r="D12" s="3">
        <v>138</v>
      </c>
      <c r="E12" s="3"/>
      <c r="F12" s="14" t="str">
        <f>IF(Tablo13411[[#This Row],[SATIŞ]]=0,"Açık",(E12-D12)*C12-3)</f>
        <v>Açık</v>
      </c>
      <c r="G12" s="15">
        <f>IF(Tablo13411[[#This Row],[ALIŞ]]&gt;0,Tablo13411[[#This Row],[ADET]]*Tablo13411[[#This Row],[ALIŞ]]+1.5,0)</f>
        <v>691.5</v>
      </c>
      <c r="H12" s="15">
        <f>IF(Tablo13411[[#This Row],[SATIŞ]]&gt;0,(Tablo13411[[#This Row],[ADET]]*Tablo13411[[#This Row],[SATIŞ]]-1.5),0)</f>
        <v>0</v>
      </c>
    </row>
    <row r="13" spans="2:18" ht="21" customHeight="1" x14ac:dyDescent="0.3">
      <c r="B13" s="13">
        <v>45355</v>
      </c>
      <c r="C13" s="8">
        <v>5</v>
      </c>
      <c r="D13" s="3">
        <v>135</v>
      </c>
      <c r="E13" s="3">
        <v>137</v>
      </c>
      <c r="F13" s="14">
        <f>IF(Tablo13411[[#This Row],[SATIŞ]]=0,"Açık",(E13-D13)*C13-3)</f>
        <v>7</v>
      </c>
      <c r="G13" s="15">
        <f>IF(Tablo13411[[#This Row],[ALIŞ]]&gt;0,Tablo13411[[#This Row],[ADET]]*Tablo13411[[#This Row],[ALIŞ]]+1.5,0)</f>
        <v>676.5</v>
      </c>
      <c r="H13" s="15">
        <f>IF(Tablo13411[[#This Row],[SATIŞ]]&gt;0,(Tablo13411[[#This Row],[ADET]]*Tablo13411[[#This Row],[SATIŞ]]-1.5),0)</f>
        <v>683.5</v>
      </c>
    </row>
    <row r="14" spans="2:18" ht="21" customHeight="1" x14ac:dyDescent="0.3">
      <c r="B14" s="13"/>
      <c r="D14" s="3"/>
      <c r="E14" s="3"/>
      <c r="F14" s="14" t="str">
        <f>IF(Tablo13411[[#This Row],[SATIŞ]]=0,"Açık",(E14-D14)*C14-3)</f>
        <v>Açık</v>
      </c>
      <c r="G14" s="15">
        <f>IF(Tablo13411[[#This Row],[ALIŞ]]&gt;0,Tablo13411[[#This Row],[ADET]]*Tablo13411[[#This Row],[ALIŞ]]+1.5,0)</f>
        <v>0</v>
      </c>
      <c r="H14" s="15">
        <f>IF(Tablo13411[[#This Row],[SATIŞ]]&gt;0,(Tablo13411[[#This Row],[ADET]]*Tablo13411[[#This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IF(Tablo13411[[#This Row],[SATIŞ]]=0,"Açık",(E15-D15)*C15-3)</f>
        <v>Açık</v>
      </c>
      <c r="G15" s="15">
        <f>IF(Tablo13411[[#This Row],[ALIŞ]]&gt;0,Tablo13411[[#This Row],[ADET]]*Tablo13411[[#This Row],[ALIŞ]]+1.5,0)</f>
        <v>0</v>
      </c>
      <c r="H15" s="15">
        <f>IF(Tablo13411[[#This Row],[SATIŞ]]&gt;0,(Tablo13411[[#This Row],[ADET]]*Tablo13411[[#This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IF(Tablo13411[[#This Row],[SATIŞ]]=0,"Açık",(E16-D16)*C16-3)</f>
        <v>Açık</v>
      </c>
      <c r="G16" s="15">
        <f>IF(Tablo13411[[#This Row],[ALIŞ]]&gt;0,Tablo13411[[#This Row],[ADET]]*Tablo13411[[#This Row],[ALIŞ]]+1.5,0)</f>
        <v>0</v>
      </c>
      <c r="H16" s="15">
        <f>IF(Tablo13411[[#This Row],[SATIŞ]]&gt;0,(Tablo13411[[#This Row],[ADET]]*Tablo13411[[#This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IF(Tablo13411[[#This Row],[SATIŞ]]=0,"Açık",(E17-D17)*C17-3)</f>
        <v>Açık</v>
      </c>
      <c r="G17" s="15">
        <f>IF(Tablo13411[[#This Row],[ALIŞ]]&gt;0,Tablo13411[[#This Row],[ADET]]*Tablo13411[[#This Row],[ALIŞ]]+1.5,0)</f>
        <v>0</v>
      </c>
      <c r="H17" s="15">
        <f>IF(Tablo13411[[#This Row],[SATIŞ]]&gt;0,(Tablo13411[[#This Row],[ADET]]*Tablo13411[[#This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IF(Tablo13411[[#This Row],[SATIŞ]]=0,"Açık",(E18-D18)*C18-3)</f>
        <v>Açık</v>
      </c>
      <c r="G18" s="15">
        <f>IF(Tablo13411[[#This Row],[ALIŞ]]&gt;0,Tablo13411[[#This Row],[ADET]]*Tablo13411[[#This Row],[ALIŞ]]+1.5,0)</f>
        <v>0</v>
      </c>
      <c r="H18" s="15">
        <f>IF(Tablo13411[[#This Row],[SATIŞ]]&gt;0,(Tablo13411[[#This Row],[ADET]]*Tablo13411[[#This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IF(Tablo13411[[#This Row],[SATIŞ]]=0,"Açık",(E19-D19)*C19-3)</f>
        <v>Açık</v>
      </c>
      <c r="G19" s="15">
        <f>IF(Tablo13411[[#This Row],[ALIŞ]]&gt;0,Tablo13411[[#This Row],[ADET]]*Tablo13411[[#This Row],[ALIŞ]]+1.5,0)</f>
        <v>0</v>
      </c>
      <c r="H19" s="15">
        <f>IF(Tablo13411[[#This Row],[SATIŞ]]&gt;0,(Tablo13411[[#This Row],[ADET]]*Tablo13411[[#This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IF(Tablo13411[[#This Row],[SATIŞ]]=0,"Açık",(E20-D20)*C20-3)</f>
        <v>Açık</v>
      </c>
      <c r="G20" s="15">
        <f>IF(Tablo13411[[#This Row],[ALIŞ]]&gt;0,Tablo13411[[#This Row],[ADET]]*Tablo13411[[#This Row],[ALIŞ]]+1.5,0)</f>
        <v>0</v>
      </c>
      <c r="H20" s="15">
        <f>IF(Tablo13411[[#This Row],[SATIŞ]]&gt;0,(Tablo13411[[#This Row],[ADET]]*Tablo13411[[#This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IF(Tablo13411[[#This Row],[SATIŞ]]=0,"Açık",(E21-D21)*C21-3)</f>
        <v>Açık</v>
      </c>
      <c r="G21" s="15">
        <f>IF(Tablo13411[[#This Row],[ALIŞ]]&gt;0,Tablo13411[[#This Row],[ADET]]*Tablo13411[[#This Row],[ALIŞ]]+1.5,0)</f>
        <v>0</v>
      </c>
      <c r="H21" s="15">
        <f>IF(Tablo13411[[#This Row],[SATIŞ]]&gt;0,(Tablo13411[[#This Row],[ADET]]*Tablo13411[[#This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IF(Tablo13411[[#This Row],[SATIŞ]]=0,"Açık",(E22-D22)*C22-3)</f>
        <v>Açık</v>
      </c>
      <c r="G22" s="15">
        <f>IF(Tablo13411[[#This Row],[ALIŞ]]&gt;0,Tablo13411[[#This Row],[ADET]]*Tablo13411[[#This Row],[ALIŞ]]+1.5,0)</f>
        <v>0</v>
      </c>
      <c r="H22" s="15">
        <f>IF(Tablo13411[[#This Row],[SATIŞ]]&gt;0,(Tablo13411[[#This Row],[ADET]]*Tablo13411[[#This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IF(Tablo13411[[#This Row],[SATIŞ]]=0,"Açık",(E23-D23)*C23-3)</f>
        <v>Açık</v>
      </c>
      <c r="G23" s="15">
        <f>IF(Tablo13411[[#This Row],[ALIŞ]]&gt;0,Tablo13411[[#This Row],[ADET]]*Tablo13411[[#This Row],[ALIŞ]]+1.5,0)</f>
        <v>0</v>
      </c>
      <c r="H23" s="15">
        <f>IF(Tablo13411[[#This Row],[SATIŞ]]&gt;0,(Tablo13411[[#This Row],[ADET]]*Tablo13411[[#This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IF(Tablo13411[[#This Row],[SATIŞ]]=0,"Açık",(E24-D24)*C24-3)</f>
        <v>Açık</v>
      </c>
      <c r="G24" s="15">
        <f>IF(Tablo13411[[#This Row],[ALIŞ]]&gt;0,Tablo13411[[#This Row],[ADET]]*Tablo13411[[#This Row],[ALIŞ]]+1.5,0)</f>
        <v>0</v>
      </c>
      <c r="H24" s="15">
        <f>IF(Tablo13411[[#This Row],[SATIŞ]]&gt;0,(Tablo13411[[#This Row],[ADET]]*Tablo13411[[#This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IF(Tablo13411[[#This Row],[SATIŞ]]=0,"Açık",(E25-D25)*C25-3)</f>
        <v>Açık</v>
      </c>
      <c r="G25" s="15">
        <f>IF(Tablo13411[[#This Row],[ALIŞ]]&gt;0,Tablo13411[[#This Row],[ADET]]*Tablo13411[[#This Row],[ALIŞ]]+1.5,0)</f>
        <v>0</v>
      </c>
      <c r="H25" s="15">
        <f>IF(Tablo13411[[#This Row],[SATIŞ]]&gt;0,(Tablo13411[[#This Row],[ADET]]*Tablo13411[[#This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IF(Tablo13411[[#This Row],[SATIŞ]]=0,"Açık",(E26-D26)*C26-3)</f>
        <v>Açık</v>
      </c>
      <c r="G26" s="15">
        <f>IF(Tablo13411[[#This Row],[ALIŞ]]&gt;0,Tablo13411[[#This Row],[ADET]]*Tablo13411[[#This Row],[ALIŞ]]+1.5,0)</f>
        <v>0</v>
      </c>
      <c r="H26" s="15">
        <f>IF(Tablo13411[[#This Row],[SATIŞ]]&gt;0,(Tablo13411[[#This Row],[ADET]]*Tablo13411[[#This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IF(Tablo13411[[#This Row],[SATIŞ]]=0,"Açık",(E27-D27)*C27-3)</f>
        <v>Açık</v>
      </c>
      <c r="G27" s="15">
        <f>IF(Tablo13411[[#This Row],[ALIŞ]]&gt;0,Tablo13411[[#This Row],[ADET]]*Tablo13411[[#This Row],[ALIŞ]]+1.5,0)</f>
        <v>0</v>
      </c>
      <c r="H27" s="15">
        <f>IF(Tablo13411[[#This Row],[SATIŞ]]&gt;0,(Tablo13411[[#This Row],[ADET]]*Tablo13411[[#This Row],[SATIŞ]]-1.5),0)</f>
        <v>0</v>
      </c>
    </row>
  </sheetData>
  <conditionalFormatting sqref="B4:E4 B5:F27">
    <cfRule type="expression" dxfId="119" priority="4">
      <formula>$F4&lt;0</formula>
    </cfRule>
    <cfRule type="expression" dxfId="118" priority="5">
      <formula>$F4="Açık"</formula>
    </cfRule>
    <cfRule type="expression" dxfId="117" priority="6">
      <formula>$F4&gt;0</formula>
    </cfRule>
  </conditionalFormatting>
  <conditionalFormatting sqref="F4">
    <cfRule type="expression" dxfId="116" priority="1">
      <formula>$F4&lt;0</formula>
    </cfRule>
    <cfRule type="expression" dxfId="115" priority="2">
      <formula>$F4="Açık"</formula>
    </cfRule>
    <cfRule type="expression" dxfId="114" priority="3">
      <formula>$F4&gt;0</formula>
    </cfRule>
  </conditionalFormatting>
  <hyperlinks>
    <hyperlink ref="B1" location="İcmal!A1" display="ANA SAYFA" xr:uid="{07AC4EE5-F53B-4637-8383-73718FAB9BDD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9C02-0128-4FEE-88CF-43F1200B1BBB}">
  <dimension ref="B1:R27"/>
  <sheetViews>
    <sheetView workbookViewId="0">
      <selection activeCell="E5" sqref="E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SUMIF(Tablo134262728[KAR],"Açık",Tablo134262728[ADET])</f>
        <v>0</v>
      </c>
      <c r="D1" s="16">
        <f>+İcmal!E21</f>
        <v>56.77</v>
      </c>
      <c r="E1" s="16">
        <f>C1*D1</f>
        <v>0</v>
      </c>
      <c r="F1" s="16" t="str">
        <f>IFERROR(((SUM(Tablo134262728[ALIŞ TUTAR])-SUM(Tablo134262728[SATIŞ TUTAR]))/C1),"")</f>
        <v/>
      </c>
      <c r="G1" s="3">
        <f>IF(M3=0,L3,C1*(D1-F1))</f>
        <v>15.54000000000002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55.634599999999999</v>
      </c>
      <c r="Q1" s="6">
        <f>+D1</f>
        <v>56.77</v>
      </c>
      <c r="R1" s="5">
        <f>Q1*(1+$J$1)</f>
        <v>57.905400000000007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SUM(Tablo134262728[KAR])</f>
        <v>15.54000000000002</v>
      </c>
      <c r="M3" s="12">
        <f>C1</f>
        <v>0</v>
      </c>
    </row>
    <row r="4" spans="2:18" ht="21" customHeight="1" x14ac:dyDescent="0.3">
      <c r="B4" s="13">
        <v>45328</v>
      </c>
      <c r="C4" s="8">
        <v>18</v>
      </c>
      <c r="D4" s="16">
        <v>56.01</v>
      </c>
      <c r="E4" s="16">
        <v>57.04</v>
      </c>
      <c r="F4" s="17">
        <f>IF(Tablo134262728[[#This Row],[SATIŞ]]=0,"Açık",(E4-D4)*C4-3)</f>
        <v>15.54000000000002</v>
      </c>
      <c r="G4" s="15">
        <f>IF(Tablo134262728[[#This Row],[ALIŞ]]&gt;0,Tablo134262728[[#This Row],[ADET]]*Tablo134262728[[#This Row],[ALIŞ]]+1.5,0)</f>
        <v>1009.68</v>
      </c>
      <c r="H4" s="15">
        <f>IF(Tablo134262728[[#This Row],[SATIŞ]]&gt;0,(Tablo134262728[[#This Row],[ADET]]*Tablo134262728[[#This Row],[SATIŞ]]-1.5),0)</f>
        <v>1025.22</v>
      </c>
      <c r="L4" s="5"/>
      <c r="M4" s="5"/>
      <c r="N4" s="5"/>
    </row>
    <row r="5" spans="2:18" ht="21" customHeight="1" x14ac:dyDescent="0.3">
      <c r="B5" s="13"/>
      <c r="F5" s="17" t="str">
        <f>IF(Tablo134262728[[#This Row],[SATIŞ]]=0,"Açık",(E5-D5)*C5-3)</f>
        <v>Açık</v>
      </c>
      <c r="G5" s="15">
        <f>IF(Tablo134262728[[#This Row],[ALIŞ]]&gt;0,Tablo134262728[[#This Row],[ADET]]*Tablo134262728[[#This Row],[ALIŞ]]+1.5,0)</f>
        <v>0</v>
      </c>
      <c r="H5" s="15">
        <f>IF(Tablo134262728[[#This Row],[SATIŞ]]&gt;0,(Tablo134262728[[#This Row],[ADET]]*Tablo134262728[[#This Row],[SATIŞ]]-1.5),0)</f>
        <v>0</v>
      </c>
    </row>
    <row r="6" spans="2:18" ht="21" customHeight="1" x14ac:dyDescent="0.3">
      <c r="B6" s="13"/>
      <c r="F6" s="17" t="str">
        <f>IF(Tablo134262728[[#This Row],[SATIŞ]]=0,"Açık",(E6-D6)*C6-3)</f>
        <v>Açık</v>
      </c>
      <c r="G6" s="15">
        <f>IF(Tablo134262728[[#This Row],[ALIŞ]]&gt;0,Tablo134262728[[#This Row],[ADET]]*Tablo134262728[[#This Row],[ALIŞ]]+1.5,0)</f>
        <v>0</v>
      </c>
      <c r="H6" s="15">
        <f>IF(Tablo134262728[[#This Row],[SATIŞ]]&gt;0,(Tablo134262728[[#This Row],[ADET]]*Tablo134262728[[#This Row],[SATIŞ]]-1.5),0)</f>
        <v>0</v>
      </c>
    </row>
    <row r="7" spans="2:18" ht="21" customHeight="1" x14ac:dyDescent="0.3">
      <c r="B7" s="13"/>
      <c r="F7" s="17" t="str">
        <f>IF(Tablo134262728[[#This Row],[SATIŞ]]=0,"Açık",(E7-D7)*C7-3)</f>
        <v>Açık</v>
      </c>
      <c r="G7" s="15">
        <f>IF(Tablo134262728[[#This Row],[ALIŞ]]&gt;0,Tablo134262728[[#This Row],[ADET]]*Tablo134262728[[#This Row],[ALIŞ]]+1.5,0)</f>
        <v>0</v>
      </c>
      <c r="H7" s="15">
        <f>IF(Tablo134262728[[#This Row],[SATIŞ]]&gt;0,(Tablo134262728[[#This Row],[ADET]]*Tablo134262728[[#This Row],[SATIŞ]]-1.5),0)</f>
        <v>0</v>
      </c>
    </row>
    <row r="8" spans="2:18" ht="21" customHeight="1" x14ac:dyDescent="0.3">
      <c r="B8" s="13"/>
      <c r="F8" s="17" t="str">
        <f>IF(Tablo134262728[[#This Row],[SATIŞ]]=0,"Açık",(E8-D8)*C8-3)</f>
        <v>Açık</v>
      </c>
      <c r="G8" s="15">
        <f>IF(Tablo134262728[[#This Row],[ALIŞ]]&gt;0,Tablo134262728[[#This Row],[ADET]]*Tablo134262728[[#This Row],[ALIŞ]]+1.5,0)</f>
        <v>0</v>
      </c>
      <c r="H8" s="15">
        <f>IF(Tablo134262728[[#This Row],[SATIŞ]]&gt;0,(Tablo134262728[[#This Row],[ADET]]*Tablo134262728[[#This Row],[SATIŞ]]-1.5),0)</f>
        <v>0</v>
      </c>
    </row>
    <row r="9" spans="2:18" ht="21" customHeight="1" x14ac:dyDescent="0.3">
      <c r="B9" s="13"/>
      <c r="F9" s="17" t="str">
        <f>IF(Tablo134262728[[#This Row],[SATIŞ]]=0,"Açık",(E9-D9)*C9-3)</f>
        <v>Açık</v>
      </c>
      <c r="G9" s="15">
        <f>IF(Tablo134262728[[#This Row],[ALIŞ]]&gt;0,Tablo134262728[[#This Row],[ADET]]*Tablo134262728[[#This Row],[ALIŞ]]+1.5,0)</f>
        <v>0</v>
      </c>
      <c r="H9" s="15">
        <f>IF(Tablo134262728[[#This Row],[SATIŞ]]&gt;0,(Tablo134262728[[#This Row],[ADET]]*Tablo134262728[[#This Row],[SATIŞ]]-1.5),0)</f>
        <v>0</v>
      </c>
    </row>
    <row r="10" spans="2:18" ht="21" customHeight="1" x14ac:dyDescent="0.3">
      <c r="B10" s="13"/>
      <c r="F10" s="17" t="str">
        <f>IF(Tablo134262728[[#This Row],[SATIŞ]]=0,"Açık",(E10-D10)*C10-3)</f>
        <v>Açık</v>
      </c>
      <c r="G10" s="15">
        <f>IF(Tablo134262728[[#This Row],[ALIŞ]]&gt;0,Tablo134262728[[#This Row],[ADET]]*Tablo134262728[[#This Row],[ALIŞ]]+1.5,0)</f>
        <v>0</v>
      </c>
      <c r="H10" s="15">
        <f>IF(Tablo134262728[[#This Row],[SATIŞ]]&gt;0,(Tablo134262728[[#This Row],[ADET]]*Tablo134262728[[#This Row],[SATIŞ]]-1.5),0)</f>
        <v>0</v>
      </c>
    </row>
    <row r="11" spans="2:18" ht="21" customHeight="1" x14ac:dyDescent="0.3">
      <c r="B11" s="13"/>
      <c r="F11" s="17" t="str">
        <f>IF(Tablo134262728[[#This Row],[SATIŞ]]=0,"Açık",(E11-D11)*C11-3)</f>
        <v>Açık</v>
      </c>
      <c r="G11" s="15">
        <f>IF(Tablo134262728[[#This Row],[ALIŞ]]&gt;0,Tablo134262728[[#This Row],[ADET]]*Tablo134262728[[#This Row],[ALIŞ]]+1.5,0)</f>
        <v>0</v>
      </c>
      <c r="H11" s="15">
        <f>IF(Tablo134262728[[#This Row],[SATIŞ]]&gt;0,(Tablo134262728[[#This Row],[ADET]]*Tablo134262728[[#This Row],[SATIŞ]]-1.5),0)</f>
        <v>0</v>
      </c>
      <c r="J11">
        <f>+Tablo134262728[[#This Row],[ALIŞ]]*1.02</f>
        <v>0</v>
      </c>
    </row>
    <row r="12" spans="2:18" ht="21" customHeight="1" x14ac:dyDescent="0.3">
      <c r="B12" s="13"/>
      <c r="F12" s="17" t="str">
        <f>IF(Tablo134262728[[#This Row],[SATIŞ]]=0,"Açık",(E12-D12)*C12-3)</f>
        <v>Açık</v>
      </c>
      <c r="G12" s="15">
        <f>IF(Tablo134262728[[#This Row],[ALIŞ]]&gt;0,Tablo134262728[[#This Row],[ADET]]*Tablo134262728[[#This Row],[ALIŞ]]+1.5,0)</f>
        <v>0</v>
      </c>
      <c r="H12" s="15">
        <f>IF(Tablo134262728[[#This Row],[SATIŞ]]&gt;0,(Tablo134262728[[#This Row],[ADET]]*Tablo134262728[[#This Row],[SATIŞ]]-1.5),0)</f>
        <v>0</v>
      </c>
    </row>
    <row r="13" spans="2:18" ht="21" customHeight="1" x14ac:dyDescent="0.3">
      <c r="B13" s="13"/>
      <c r="F13" s="17" t="str">
        <f>IF(Tablo134262728[[#This Row],[SATIŞ]]=0,"Açık",(E13-D13)*C13-3)</f>
        <v>Açık</v>
      </c>
      <c r="G13" s="15">
        <f>IF(Tablo134262728[[#This Row],[ALIŞ]]&gt;0,Tablo134262728[[#This Row],[ADET]]*Tablo134262728[[#This Row],[ALIŞ]]+1.5,0)</f>
        <v>0</v>
      </c>
      <c r="H13" s="15">
        <f>IF(Tablo134262728[[#This Row],[SATIŞ]]&gt;0,(Tablo134262728[[#This Row],[ADET]]*Tablo134262728[[#This Row],[SATIŞ]]-1.5),0)</f>
        <v>0</v>
      </c>
    </row>
    <row r="14" spans="2:18" ht="21" customHeight="1" x14ac:dyDescent="0.3">
      <c r="B14" s="13"/>
      <c r="F14" s="17" t="str">
        <f>IF(Tablo134262728[[#This Row],[SATIŞ]]=0,"Açık",(E14-D14)*C14-3)</f>
        <v>Açık</v>
      </c>
      <c r="G14" s="15">
        <f>IF(Tablo134262728[[#This Row],[ALIŞ]]&gt;0,Tablo134262728[[#This Row],[ADET]]*Tablo134262728[[#This Row],[ALIŞ]]+1.5,0)</f>
        <v>0</v>
      </c>
      <c r="H14" s="15">
        <f>IF(Tablo134262728[[#This Row],[SATIŞ]]&gt;0,(Tablo134262728[[#This Row],[ADET]]*Tablo134262728[[#This Row],[SATIŞ]]-1.5),0)</f>
        <v>0</v>
      </c>
    </row>
    <row r="15" spans="2:18" ht="21" customHeight="1" x14ac:dyDescent="0.3">
      <c r="B15" s="13"/>
      <c r="F15" s="17" t="str">
        <f>IF(Tablo134262728[[#This Row],[SATIŞ]]=0,"Açık",(E15-D15)*C15-3)</f>
        <v>Açık</v>
      </c>
      <c r="G15" s="15">
        <f>IF(Tablo134262728[[#This Row],[ALIŞ]]&gt;0,Tablo134262728[[#This Row],[ADET]]*Tablo134262728[[#This Row],[ALIŞ]]+1.5,0)</f>
        <v>0</v>
      </c>
      <c r="H15" s="15">
        <f>IF(Tablo134262728[[#This Row],[SATIŞ]]&gt;0,(Tablo134262728[[#This Row],[ADET]]*Tablo134262728[[#This Row],[SATIŞ]]-1.5),0)</f>
        <v>0</v>
      </c>
    </row>
    <row r="16" spans="2:18" ht="21" customHeight="1" x14ac:dyDescent="0.3">
      <c r="B16" s="13"/>
      <c r="F16" s="17" t="str">
        <f>IF(Tablo134262728[[#This Row],[SATIŞ]]=0,"Açık",(E16-D16)*C16-3)</f>
        <v>Açık</v>
      </c>
      <c r="G16" s="15">
        <f>IF(Tablo134262728[[#This Row],[ALIŞ]]&gt;0,Tablo134262728[[#This Row],[ADET]]*Tablo134262728[[#This Row],[ALIŞ]]+1.5,0)</f>
        <v>0</v>
      </c>
      <c r="H16" s="15">
        <f>IF(Tablo134262728[[#This Row],[SATIŞ]]&gt;0,(Tablo134262728[[#This Row],[ADET]]*Tablo134262728[[#This Row],[SATIŞ]]-1.5),0)</f>
        <v>0</v>
      </c>
    </row>
    <row r="17" spans="2:8" ht="21" customHeight="1" x14ac:dyDescent="0.3">
      <c r="B17" s="13"/>
      <c r="F17" s="17" t="str">
        <f>IF(Tablo134262728[[#This Row],[SATIŞ]]=0,"Açık",(E17-D17)*C17-3)</f>
        <v>Açık</v>
      </c>
      <c r="G17" s="15">
        <f>IF(Tablo134262728[[#This Row],[ALIŞ]]&gt;0,Tablo134262728[[#This Row],[ADET]]*Tablo134262728[[#This Row],[ALIŞ]]+1.5,0)</f>
        <v>0</v>
      </c>
      <c r="H17" s="15">
        <f>IF(Tablo134262728[[#This Row],[SATIŞ]]&gt;0,(Tablo134262728[[#This Row],[ADET]]*Tablo134262728[[#This Row],[SATIŞ]]-1.5),0)</f>
        <v>0</v>
      </c>
    </row>
    <row r="18" spans="2:8" ht="21" customHeight="1" x14ac:dyDescent="0.3">
      <c r="B18" s="13"/>
      <c r="F18" s="17" t="str">
        <f>IF(Tablo134262728[[#This Row],[SATIŞ]]=0,"Açık",(E18-D18)*C18-3)</f>
        <v>Açık</v>
      </c>
      <c r="G18" s="15">
        <f>IF(Tablo134262728[[#This Row],[ALIŞ]]&gt;0,Tablo134262728[[#This Row],[ADET]]*Tablo134262728[[#This Row],[ALIŞ]]+1.5,0)</f>
        <v>0</v>
      </c>
      <c r="H18" s="15">
        <f>IF(Tablo134262728[[#This Row],[SATIŞ]]&gt;0,(Tablo134262728[[#This Row],[ADET]]*Tablo134262728[[#This Row],[SATIŞ]]-1.5),0)</f>
        <v>0</v>
      </c>
    </row>
    <row r="19" spans="2:8" ht="21" customHeight="1" x14ac:dyDescent="0.3">
      <c r="B19" s="13"/>
      <c r="F19" s="17" t="str">
        <f>IF(Tablo134262728[[#This Row],[SATIŞ]]=0,"Açık",(E19-D19)*C19-3)</f>
        <v>Açık</v>
      </c>
      <c r="G19" s="15">
        <f>IF(Tablo134262728[[#This Row],[ALIŞ]]&gt;0,Tablo134262728[[#This Row],[ADET]]*Tablo134262728[[#This Row],[ALIŞ]]+1.5,0)</f>
        <v>0</v>
      </c>
      <c r="H19" s="15">
        <f>IF(Tablo134262728[[#This Row],[SATIŞ]]&gt;0,(Tablo134262728[[#This Row],[ADET]]*Tablo134262728[[#This Row],[SATIŞ]]-1.5),0)</f>
        <v>0</v>
      </c>
    </row>
    <row r="20" spans="2:8" ht="21" customHeight="1" x14ac:dyDescent="0.3">
      <c r="B20" s="13"/>
      <c r="F20" s="17" t="str">
        <f>IF(Tablo134262728[[#This Row],[SATIŞ]]=0,"Açık",(E20-D20)*C20-3)</f>
        <v>Açık</v>
      </c>
      <c r="G20" s="15">
        <f>IF(Tablo134262728[[#This Row],[ALIŞ]]&gt;0,Tablo134262728[[#This Row],[ADET]]*Tablo134262728[[#This Row],[ALIŞ]]+1.5,0)</f>
        <v>0</v>
      </c>
      <c r="H20" s="15">
        <f>IF(Tablo134262728[[#This Row],[SATIŞ]]&gt;0,(Tablo134262728[[#This Row],[ADET]]*Tablo134262728[[#This Row],[SATIŞ]]-1.5),0)</f>
        <v>0</v>
      </c>
    </row>
    <row r="21" spans="2:8" ht="21" customHeight="1" x14ac:dyDescent="0.3">
      <c r="B21" s="13"/>
      <c r="F21" s="17" t="str">
        <f>IF(Tablo134262728[[#This Row],[SATIŞ]]=0,"Açık",(E21-D21)*C21-3)</f>
        <v>Açık</v>
      </c>
      <c r="G21" s="15">
        <f>IF(Tablo134262728[[#This Row],[ALIŞ]]&gt;0,Tablo134262728[[#This Row],[ADET]]*Tablo134262728[[#This Row],[ALIŞ]]+1.5,0)</f>
        <v>0</v>
      </c>
      <c r="H21" s="15">
        <f>IF(Tablo134262728[[#This Row],[SATIŞ]]&gt;0,(Tablo134262728[[#This Row],[ADET]]*Tablo134262728[[#This Row],[SATIŞ]]-1.5),0)</f>
        <v>0</v>
      </c>
    </row>
    <row r="22" spans="2:8" ht="21" customHeight="1" x14ac:dyDescent="0.3">
      <c r="B22" s="13"/>
      <c r="F22" s="17" t="str">
        <f>IF(Tablo134262728[[#This Row],[SATIŞ]]=0,"Açık",(E22-D22)*C22-3)</f>
        <v>Açık</v>
      </c>
      <c r="G22" s="15">
        <f>IF(Tablo134262728[[#This Row],[ALIŞ]]&gt;0,Tablo134262728[[#This Row],[ADET]]*Tablo134262728[[#This Row],[ALIŞ]]+1.5,0)</f>
        <v>0</v>
      </c>
      <c r="H22" s="15">
        <f>IF(Tablo134262728[[#This Row],[SATIŞ]]&gt;0,(Tablo134262728[[#This Row],[ADET]]*Tablo134262728[[#This Row],[SATIŞ]]-1.5),0)</f>
        <v>0</v>
      </c>
    </row>
    <row r="23" spans="2:8" ht="21" customHeight="1" x14ac:dyDescent="0.3">
      <c r="B23" s="13"/>
      <c r="F23" s="17" t="str">
        <f>IF(Tablo134262728[[#This Row],[SATIŞ]]=0,"Açık",(E23-D23)*C23-3)</f>
        <v>Açık</v>
      </c>
      <c r="G23" s="15">
        <f>IF(Tablo134262728[[#This Row],[ALIŞ]]&gt;0,Tablo134262728[[#This Row],[ADET]]*Tablo134262728[[#This Row],[ALIŞ]]+1.5,0)</f>
        <v>0</v>
      </c>
      <c r="H23" s="15">
        <f>IF(Tablo134262728[[#This Row],[SATIŞ]]&gt;0,(Tablo134262728[[#This Row],[ADET]]*Tablo134262728[[#This Row],[SATIŞ]]-1.5),0)</f>
        <v>0</v>
      </c>
    </row>
    <row r="24" spans="2:8" ht="21" customHeight="1" x14ac:dyDescent="0.3">
      <c r="B24" s="13"/>
      <c r="F24" s="17" t="str">
        <f>IF(Tablo134262728[[#This Row],[SATIŞ]]=0,"Açık",(E24-D24)*C24-3)</f>
        <v>Açık</v>
      </c>
      <c r="G24" s="15">
        <f>IF(Tablo134262728[[#This Row],[ALIŞ]]&gt;0,Tablo134262728[[#This Row],[ADET]]*Tablo134262728[[#This Row],[ALIŞ]]+1.5,0)</f>
        <v>0</v>
      </c>
      <c r="H24" s="15">
        <f>IF(Tablo134262728[[#This Row],[SATIŞ]]&gt;0,(Tablo134262728[[#This Row],[ADET]]*Tablo134262728[[#This Row],[SATIŞ]]-1.5),0)</f>
        <v>0</v>
      </c>
    </row>
    <row r="25" spans="2:8" ht="21" customHeight="1" x14ac:dyDescent="0.3">
      <c r="B25" s="13"/>
      <c r="F25" s="17" t="str">
        <f>IF(Tablo134262728[[#This Row],[SATIŞ]]=0,"Açık",(E25-D25)*C25-3)</f>
        <v>Açık</v>
      </c>
      <c r="G25" s="15">
        <f>IF(Tablo134262728[[#This Row],[ALIŞ]]&gt;0,Tablo134262728[[#This Row],[ADET]]*Tablo134262728[[#This Row],[ALIŞ]]+1.5,0)</f>
        <v>0</v>
      </c>
      <c r="H25" s="15">
        <f>IF(Tablo134262728[[#This Row],[SATIŞ]]&gt;0,(Tablo134262728[[#This Row],[ADET]]*Tablo134262728[[#This Row],[SATIŞ]]-1.5),0)</f>
        <v>0</v>
      </c>
    </row>
    <row r="26" spans="2:8" ht="21" customHeight="1" x14ac:dyDescent="0.3">
      <c r="B26" s="13"/>
      <c r="F26" s="17" t="str">
        <f>IF(Tablo134262728[[#This Row],[SATIŞ]]=0,"Açık",(E26-D26)*C26-3)</f>
        <v>Açık</v>
      </c>
      <c r="G26" s="15">
        <f>IF(Tablo134262728[[#This Row],[ALIŞ]]&gt;0,Tablo134262728[[#This Row],[ADET]]*Tablo134262728[[#This Row],[ALIŞ]]+1.5,0)</f>
        <v>0</v>
      </c>
      <c r="H26" s="15">
        <f>IF(Tablo134262728[[#This Row],[SATIŞ]]&gt;0,(Tablo134262728[[#This Row],[ADET]]*Tablo134262728[[#This Row],[SATIŞ]]-1.5),0)</f>
        <v>0</v>
      </c>
    </row>
    <row r="27" spans="2:8" ht="21" customHeight="1" x14ac:dyDescent="0.3">
      <c r="B27" s="13"/>
      <c r="F27" s="17" t="str">
        <f>IF(Tablo134262728[[#This Row],[SATIŞ]]=0,"Açık",(E27-D27)*C27-3)</f>
        <v>Açık</v>
      </c>
      <c r="G27" s="15">
        <f>IF(Tablo134262728[[#This Row],[ALIŞ]]&gt;0,Tablo134262728[[#This Row],[ADET]]*Tablo134262728[[#This Row],[ALIŞ]]+1.5,0)</f>
        <v>0</v>
      </c>
      <c r="H27" s="15">
        <f>IF(Tablo134262728[[#This Row],[SATIŞ]]&gt;0,(Tablo134262728[[#This Row],[ADET]]*Tablo134262728[[#This Row],[SATIŞ]]-1.5),0)</f>
        <v>0</v>
      </c>
    </row>
  </sheetData>
  <conditionalFormatting sqref="B4:E4 B5:F27">
    <cfRule type="expression" dxfId="113" priority="4">
      <formula>$F4&lt;0</formula>
    </cfRule>
    <cfRule type="expression" dxfId="112" priority="5">
      <formula>$F4="Açık"</formula>
    </cfRule>
    <cfRule type="expression" dxfId="111" priority="6">
      <formula>$F4&gt;0</formula>
    </cfRule>
  </conditionalFormatting>
  <conditionalFormatting sqref="F4">
    <cfRule type="expression" dxfId="110" priority="1">
      <formula>$F4&lt;0</formula>
    </cfRule>
    <cfRule type="expression" dxfId="109" priority="2">
      <formula>$F4="Açık"</formula>
    </cfRule>
    <cfRule type="expression" dxfId="108" priority="3">
      <formula>$F4&gt;0</formula>
    </cfRule>
  </conditionalFormatting>
  <hyperlinks>
    <hyperlink ref="B1" location="İcmal!A1" display="ANA SAYFA" xr:uid="{D9742EBB-960B-4646-A256-6E5381312B90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C412-9EA7-417F-82AB-309F0B04A408}">
  <dimension ref="B1:R27"/>
  <sheetViews>
    <sheetView workbookViewId="0">
      <selection activeCell="D2" sqref="D2"/>
    </sheetView>
  </sheetViews>
  <sheetFormatPr defaultRowHeight="14.4" x14ac:dyDescent="0.3"/>
  <cols>
    <col min="2" max="2" width="20.6640625" style="11" customWidth="1"/>
    <col min="3" max="3" width="11.33203125" style="8" customWidth="1"/>
    <col min="4" max="4" width="12.88671875" style="9" customWidth="1"/>
    <col min="5" max="5" width="12.88671875" style="16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SUMIF(Tablo1348913141516[KAR],"Açık",Tablo1348913141516[ADET])</f>
        <v>1</v>
      </c>
      <c r="D1" s="3">
        <f>+İcmal!E22</f>
        <v>1.45</v>
      </c>
      <c r="E1" s="16">
        <f>C1*D1</f>
        <v>1.45</v>
      </c>
      <c r="F1" s="3">
        <f>IFERROR(((SUM(Tablo1348913141516[ALIŞ TUTAR])-SUM(Tablo1348913141516[SATIŞ TUTAR]))/C1),"")</f>
        <v>-0.45100000000002183</v>
      </c>
      <c r="G1" s="3">
        <f>IF(M3=0,L3,C1*(D1-F1))</f>
        <v>1.9010000000000218</v>
      </c>
      <c r="J1" s="4">
        <v>0.02</v>
      </c>
      <c r="L1" s="5">
        <f>M1*(1-$J$1)</f>
        <v>-0.44198000000002136</v>
      </c>
      <c r="M1" s="6">
        <f>F1</f>
        <v>-0.45100000000002183</v>
      </c>
      <c r="N1" s="5">
        <f>M1*(1+$J$1)</f>
        <v>-0.4600200000000223</v>
      </c>
      <c r="P1" s="5">
        <f>Q1*(1-$J$1)</f>
        <v>1.421</v>
      </c>
      <c r="Q1" s="6">
        <f>+D1</f>
        <v>1.45</v>
      </c>
      <c r="R1" s="5">
        <f>Q1*(1+$J$1)</f>
        <v>1.4789999999999999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16" t="s">
        <v>4</v>
      </c>
      <c r="F3" s="10" t="s">
        <v>5</v>
      </c>
      <c r="G3" s="9" t="s">
        <v>6</v>
      </c>
      <c r="H3" s="9" t="s">
        <v>7</v>
      </c>
      <c r="L3" s="6">
        <f>SUM(Tablo1348913141516[KAR])</f>
        <v>2.7159000000000053</v>
      </c>
      <c r="M3" s="12">
        <f>C1</f>
        <v>1</v>
      </c>
    </row>
    <row r="4" spans="2:18" ht="21" customHeight="1" x14ac:dyDescent="0.3">
      <c r="B4" s="13">
        <v>44897</v>
      </c>
      <c r="C4" s="8">
        <v>1</v>
      </c>
      <c r="D4" s="16">
        <v>0.76490000000000002</v>
      </c>
      <c r="F4" s="14" t="str">
        <f>IF(Tablo1348913141516[[#This Row],[SATIŞ]]=0,"Açık",(E4-D4)*C4-3)</f>
        <v>Açık</v>
      </c>
      <c r="G4" s="15">
        <f>IF(Tablo1348913141516[[#This Row],[ALIŞ]]&gt;0,Tablo1348913141516[[#This Row],[ADET]]*Tablo1348913141516[[#This Row],[ALIŞ]]+1.5,0)</f>
        <v>2.2648999999999999</v>
      </c>
      <c r="H4" s="15">
        <f>IF(Tablo1348913141516[[#This Row],[SATIŞ]]&gt;0,(Tablo1348913141516[[#This Row],[ADET]]*Tablo1348913141516[[#This Row],[SATIŞ]]-1.5),0)</f>
        <v>0</v>
      </c>
      <c r="L4" s="5"/>
      <c r="M4" s="5"/>
      <c r="N4" s="5"/>
    </row>
    <row r="5" spans="2:18" ht="21" customHeight="1" x14ac:dyDescent="0.3">
      <c r="B5" s="13">
        <v>45084</v>
      </c>
      <c r="C5" s="8">
        <v>9</v>
      </c>
      <c r="D5" s="16">
        <v>0.76490000000000002</v>
      </c>
      <c r="E5" s="16">
        <v>1.1000000000000001</v>
      </c>
      <c r="F5" s="14">
        <f>IF(Tablo1348913141516[[#This Row],[SATIŞ]]=0,"Açık",(E5-D5)*C5-3)</f>
        <v>1.5900000000000691E-2</v>
      </c>
      <c r="G5" s="15">
        <f>IF(Tablo1348913141516[[#This Row],[ALIŞ]]&gt;0,Tablo1348913141516[[#This Row],[ADET]]*Tablo1348913141516[[#This Row],[ALIŞ]]+1.5,0)</f>
        <v>8.3841000000000001</v>
      </c>
      <c r="H5" s="15">
        <f>IF(Tablo1348913141516[[#This Row],[SATIŞ]]&gt;0,(Tablo1348913141516[[#This Row],[ADET]]*Tablo1348913141516[[#This Row],[SATIŞ]]-1.5),0)</f>
        <v>8.4</v>
      </c>
    </row>
    <row r="6" spans="2:18" ht="21" customHeight="1" x14ac:dyDescent="0.3">
      <c r="B6" s="13">
        <v>45084</v>
      </c>
      <c r="C6" s="8">
        <v>190</v>
      </c>
      <c r="D6" s="16">
        <v>1.07</v>
      </c>
      <c r="E6" s="16">
        <v>1.1000000000000001</v>
      </c>
      <c r="F6" s="14">
        <f>IF(Tablo1348913141516[[#This Row],[SATIŞ]]=0,"Açık",(E6-D6)*C6-3)</f>
        <v>2.7000000000000046</v>
      </c>
      <c r="G6" s="15">
        <f>IF(Tablo1348913141516[[#This Row],[ALIŞ]]&gt;0,Tablo1348913141516[[#This Row],[ADET]]*Tablo1348913141516[[#This Row],[ALIŞ]]+1.5,0)</f>
        <v>204.8</v>
      </c>
      <c r="H6" s="15">
        <f>IF(Tablo1348913141516[[#This Row],[SATIŞ]]&gt;0,(Tablo1348913141516[[#This Row],[ADET]]*Tablo1348913141516[[#This Row],[SATIŞ]]-1.5),0)</f>
        <v>207.50000000000003</v>
      </c>
    </row>
    <row r="7" spans="2:18" ht="21" customHeight="1" x14ac:dyDescent="0.3">
      <c r="B7" s="13"/>
      <c r="D7" s="16"/>
      <c r="F7" s="14" t="str">
        <f>IF(Tablo1348913141516[[#This Row],[SATIŞ]]=0,"Açık",(E7-D7)*C7-3)</f>
        <v>Açık</v>
      </c>
      <c r="G7" s="15">
        <f>IF(Tablo1348913141516[[#This Row],[ALIŞ]]&gt;0,Tablo1348913141516[[#This Row],[ADET]]*Tablo1348913141516[[#This Row],[ALIŞ]]+1.5,0)</f>
        <v>0</v>
      </c>
      <c r="H7" s="15">
        <f>IF(Tablo1348913141516[[#This Row],[SATIŞ]]&gt;0,(Tablo1348913141516[[#This Row],[ADET]]*Tablo1348913141516[[#This Row],[SATIŞ]]-1.5),0)</f>
        <v>0</v>
      </c>
    </row>
    <row r="8" spans="2:18" ht="21" customHeight="1" x14ac:dyDescent="0.3">
      <c r="B8" s="13"/>
      <c r="D8" s="16"/>
      <c r="F8" s="14" t="str">
        <f>IF(Tablo1348913141516[[#This Row],[SATIŞ]]=0,"Açık",(E8-D8)*C8-3)</f>
        <v>Açık</v>
      </c>
      <c r="G8" s="15">
        <f>IF(Tablo1348913141516[[#This Row],[ALIŞ]]&gt;0,Tablo1348913141516[[#This Row],[ADET]]*Tablo1348913141516[[#This Row],[ALIŞ]]+1.5,0)</f>
        <v>0</v>
      </c>
      <c r="H8" s="15">
        <f>IF(Tablo1348913141516[[#This Row],[SATIŞ]]&gt;0,(Tablo1348913141516[[#This Row],[ADET]]*Tablo1348913141516[[#This Row],[SATIŞ]]-1.5),0)</f>
        <v>0</v>
      </c>
    </row>
    <row r="9" spans="2:18" ht="21" customHeight="1" x14ac:dyDescent="0.3">
      <c r="B9" s="13"/>
      <c r="D9" s="16"/>
      <c r="F9" s="14" t="str">
        <f>IF(Tablo1348913141516[[#This Row],[SATIŞ]]=0,"Açık",(E9-D9)*C9-3)</f>
        <v>Açık</v>
      </c>
      <c r="G9" s="15">
        <f>IF(Tablo1348913141516[[#This Row],[ALIŞ]]&gt;0,Tablo1348913141516[[#This Row],[ADET]]*Tablo1348913141516[[#This Row],[ALIŞ]]+1.5,0)</f>
        <v>0</v>
      </c>
      <c r="H9" s="15">
        <f>IF(Tablo1348913141516[[#This Row],[SATIŞ]]&gt;0,(Tablo1348913141516[[#This Row],[ADET]]*Tablo1348913141516[[#This Row],[SATIŞ]]-1.5),0)</f>
        <v>0</v>
      </c>
    </row>
    <row r="10" spans="2:18" ht="21" customHeight="1" x14ac:dyDescent="0.3">
      <c r="B10" s="13"/>
      <c r="D10" s="16"/>
      <c r="F10" s="14" t="str">
        <f>IF(Tablo1348913141516[[#This Row],[SATIŞ]]=0,"Açık",(E10-D10)*C10-3)</f>
        <v>Açık</v>
      </c>
      <c r="G10" s="15">
        <f>IF(Tablo1348913141516[[#This Row],[ALIŞ]]&gt;0,Tablo1348913141516[[#This Row],[ADET]]*Tablo1348913141516[[#This Row],[ALIŞ]]+1.5,0)</f>
        <v>0</v>
      </c>
      <c r="H10" s="15">
        <f>IF(Tablo1348913141516[[#This Row],[SATIŞ]]&gt;0,(Tablo1348913141516[[#This Row],[ADET]]*Tablo1348913141516[[#This Row],[SATIŞ]]-1.5),0)</f>
        <v>0</v>
      </c>
    </row>
    <row r="11" spans="2:18" ht="21" customHeight="1" x14ac:dyDescent="0.3">
      <c r="B11" s="13"/>
      <c r="D11" s="16"/>
      <c r="F11" s="14" t="str">
        <f>IF(Tablo1348913141516[[#This Row],[SATIŞ]]=0,"Açık",(E11-D11)*C11-3)</f>
        <v>Açık</v>
      </c>
      <c r="G11" s="15">
        <f>IF(Tablo1348913141516[[#This Row],[ALIŞ]]&gt;0,Tablo1348913141516[[#This Row],[ADET]]*Tablo1348913141516[[#This Row],[ALIŞ]]+1.5,0)</f>
        <v>0</v>
      </c>
      <c r="H11" s="15">
        <f>IF(Tablo1348913141516[[#This Row],[SATIŞ]]&gt;0,(Tablo1348913141516[[#This Row],[ADET]]*Tablo1348913141516[[#This Row],[SATIŞ]]-1.5),0)</f>
        <v>0</v>
      </c>
      <c r="J11">
        <f>+Tablo1348913141516[[#This Row],[ALIŞ]]*1.02</f>
        <v>0</v>
      </c>
    </row>
    <row r="12" spans="2:18" ht="21" customHeight="1" x14ac:dyDescent="0.3">
      <c r="B12" s="13"/>
      <c r="D12" s="16"/>
      <c r="F12" s="14" t="str">
        <f>IF(Tablo1348913141516[[#This Row],[SATIŞ]]=0,"Açık",(E12-D12)*C12-3)</f>
        <v>Açık</v>
      </c>
      <c r="G12" s="15">
        <f>IF(Tablo1348913141516[[#This Row],[ALIŞ]]&gt;0,Tablo1348913141516[[#This Row],[ADET]]*Tablo1348913141516[[#This Row],[ALIŞ]]+1.5,0)</f>
        <v>0</v>
      </c>
      <c r="H12" s="15">
        <f>IF(Tablo1348913141516[[#This Row],[SATIŞ]]&gt;0,(Tablo1348913141516[[#This Row],[ADET]]*Tablo1348913141516[[#This Row],[SATIŞ]]-1.5),0)</f>
        <v>0</v>
      </c>
    </row>
    <row r="13" spans="2:18" ht="21" customHeight="1" x14ac:dyDescent="0.3">
      <c r="B13" s="13"/>
      <c r="D13" s="16"/>
      <c r="F13" s="14" t="str">
        <f>IF(Tablo1348913141516[[#This Row],[SATIŞ]]=0,"Açık",(E13-D13)*C13-3)</f>
        <v>Açık</v>
      </c>
      <c r="G13" s="15">
        <f>IF(Tablo1348913141516[[#This Row],[ALIŞ]]&gt;0,Tablo1348913141516[[#This Row],[ADET]]*Tablo1348913141516[[#This Row],[ALIŞ]]+1.5,0)</f>
        <v>0</v>
      </c>
      <c r="H13" s="15">
        <f>IF(Tablo1348913141516[[#This Row],[SATIŞ]]&gt;0,(Tablo1348913141516[[#This Row],[ADET]]*Tablo1348913141516[[#This Row],[SATIŞ]]-1.5),0)</f>
        <v>0</v>
      </c>
    </row>
    <row r="14" spans="2:18" ht="21" customHeight="1" x14ac:dyDescent="0.3">
      <c r="B14" s="13"/>
      <c r="D14" s="16"/>
      <c r="F14" s="14" t="str">
        <f>IF(Tablo1348913141516[[#This Row],[SATIŞ]]=0,"Açık",(E14-D14)*C14-3)</f>
        <v>Açık</v>
      </c>
      <c r="G14" s="15">
        <f>IF(Tablo1348913141516[[#This Row],[ALIŞ]]&gt;0,Tablo1348913141516[[#This Row],[ADET]]*Tablo1348913141516[[#This Row],[ALIŞ]]+1.5,0)</f>
        <v>0</v>
      </c>
      <c r="H14" s="15">
        <f>IF(Tablo1348913141516[[#This Row],[SATIŞ]]&gt;0,(Tablo1348913141516[[#This Row],[ADET]]*Tablo1348913141516[[#This Row],[SATIŞ]]-1.5),0)</f>
        <v>0</v>
      </c>
    </row>
    <row r="15" spans="2:18" ht="21" customHeight="1" x14ac:dyDescent="0.3">
      <c r="B15" s="13"/>
      <c r="D15" s="16"/>
      <c r="F15" s="14" t="str">
        <f>IF(Tablo1348913141516[[#This Row],[SATIŞ]]=0,"Açık",(E15-D15)*C15-3)</f>
        <v>Açık</v>
      </c>
      <c r="G15" s="15">
        <f>IF(Tablo1348913141516[[#This Row],[ALIŞ]]&gt;0,Tablo1348913141516[[#This Row],[ADET]]*Tablo1348913141516[[#This Row],[ALIŞ]]+1.5,0)</f>
        <v>0</v>
      </c>
      <c r="H15" s="15">
        <f>IF(Tablo1348913141516[[#This Row],[SATIŞ]]&gt;0,(Tablo1348913141516[[#This Row],[ADET]]*Tablo1348913141516[[#This Row],[SATIŞ]]-1.5),0)</f>
        <v>0</v>
      </c>
    </row>
    <row r="16" spans="2:18" ht="21" customHeight="1" x14ac:dyDescent="0.3">
      <c r="B16" s="13"/>
      <c r="D16" s="16"/>
      <c r="F16" s="14" t="str">
        <f>IF(Tablo1348913141516[[#This Row],[SATIŞ]]=0,"Açık",(E16-D16)*C16-3)</f>
        <v>Açık</v>
      </c>
      <c r="G16" s="15">
        <f>IF(Tablo1348913141516[[#This Row],[ALIŞ]]&gt;0,Tablo1348913141516[[#This Row],[ADET]]*Tablo1348913141516[[#This Row],[ALIŞ]]+1.5,0)</f>
        <v>0</v>
      </c>
      <c r="H16" s="15">
        <f>IF(Tablo1348913141516[[#This Row],[SATIŞ]]&gt;0,(Tablo1348913141516[[#This Row],[ADET]]*Tablo1348913141516[[#This Row],[SATIŞ]]-1.5),0)</f>
        <v>0</v>
      </c>
    </row>
    <row r="17" spans="2:8" ht="21" customHeight="1" x14ac:dyDescent="0.3">
      <c r="B17" s="13"/>
      <c r="D17" s="16"/>
      <c r="F17" s="14" t="str">
        <f>IF(Tablo1348913141516[[#This Row],[SATIŞ]]=0,"Açık",(E17-D17)*C17-3)</f>
        <v>Açık</v>
      </c>
      <c r="G17" s="15">
        <f>IF(Tablo1348913141516[[#This Row],[ALIŞ]]&gt;0,Tablo1348913141516[[#This Row],[ADET]]*Tablo1348913141516[[#This Row],[ALIŞ]]+1.5,0)</f>
        <v>0</v>
      </c>
      <c r="H17" s="15">
        <f>IF(Tablo1348913141516[[#This Row],[SATIŞ]]&gt;0,(Tablo1348913141516[[#This Row],[ADET]]*Tablo1348913141516[[#This Row],[SATIŞ]]-1.5),0)</f>
        <v>0</v>
      </c>
    </row>
    <row r="18" spans="2:8" ht="21" customHeight="1" x14ac:dyDescent="0.3">
      <c r="B18" s="13"/>
      <c r="D18" s="16"/>
      <c r="F18" s="14" t="str">
        <f>IF(Tablo1348913141516[[#This Row],[SATIŞ]]=0,"Açık",(E18-D18)*C18-3)</f>
        <v>Açık</v>
      </c>
      <c r="G18" s="15">
        <f>IF(Tablo1348913141516[[#This Row],[ALIŞ]]&gt;0,Tablo1348913141516[[#This Row],[ADET]]*Tablo1348913141516[[#This Row],[ALIŞ]]+1.5,0)</f>
        <v>0</v>
      </c>
      <c r="H18" s="15">
        <f>IF(Tablo1348913141516[[#This Row],[SATIŞ]]&gt;0,(Tablo1348913141516[[#This Row],[ADET]]*Tablo1348913141516[[#This Row],[SATIŞ]]-1.5),0)</f>
        <v>0</v>
      </c>
    </row>
    <row r="19" spans="2:8" ht="21" customHeight="1" x14ac:dyDescent="0.3">
      <c r="B19" s="13"/>
      <c r="D19" s="16"/>
      <c r="F19" s="14" t="str">
        <f>IF(Tablo1348913141516[[#This Row],[SATIŞ]]=0,"Açık",(E19-D19)*C19-3)</f>
        <v>Açık</v>
      </c>
      <c r="G19" s="15">
        <f>IF(Tablo1348913141516[[#This Row],[ALIŞ]]&gt;0,Tablo1348913141516[[#This Row],[ADET]]*Tablo1348913141516[[#This Row],[ALIŞ]]+1.5,0)</f>
        <v>0</v>
      </c>
      <c r="H19" s="15">
        <f>IF(Tablo1348913141516[[#This Row],[SATIŞ]]&gt;0,(Tablo1348913141516[[#This Row],[ADET]]*Tablo1348913141516[[#This Row],[SATIŞ]]-1.5),0)</f>
        <v>0</v>
      </c>
    </row>
    <row r="20" spans="2:8" ht="21" customHeight="1" x14ac:dyDescent="0.3">
      <c r="B20" s="13"/>
      <c r="D20" s="16"/>
      <c r="F20" s="14" t="str">
        <f>IF(Tablo1348913141516[[#This Row],[SATIŞ]]=0,"Açık",(E20-D20)*C20-3)</f>
        <v>Açık</v>
      </c>
      <c r="G20" s="15">
        <f>IF(Tablo1348913141516[[#This Row],[ALIŞ]]&gt;0,Tablo1348913141516[[#This Row],[ADET]]*Tablo1348913141516[[#This Row],[ALIŞ]]+1.5,0)</f>
        <v>0</v>
      </c>
      <c r="H20" s="15">
        <f>IF(Tablo1348913141516[[#This Row],[SATIŞ]]&gt;0,(Tablo1348913141516[[#This Row],[ADET]]*Tablo1348913141516[[#This Row],[SATIŞ]]-1.5),0)</f>
        <v>0</v>
      </c>
    </row>
    <row r="21" spans="2:8" ht="21" customHeight="1" x14ac:dyDescent="0.3">
      <c r="B21" s="13"/>
      <c r="D21" s="16"/>
      <c r="F21" s="14" t="str">
        <f>IF(Tablo1348913141516[[#This Row],[SATIŞ]]=0,"Açık",(E21-D21)*C21-3)</f>
        <v>Açık</v>
      </c>
      <c r="G21" s="15">
        <f>IF(Tablo1348913141516[[#This Row],[ALIŞ]]&gt;0,Tablo1348913141516[[#This Row],[ADET]]*Tablo1348913141516[[#This Row],[ALIŞ]]+1.5,0)</f>
        <v>0</v>
      </c>
      <c r="H21" s="15">
        <f>IF(Tablo1348913141516[[#This Row],[SATIŞ]]&gt;0,(Tablo1348913141516[[#This Row],[ADET]]*Tablo1348913141516[[#This Row],[SATIŞ]]-1.5),0)</f>
        <v>0</v>
      </c>
    </row>
    <row r="22" spans="2:8" ht="21" customHeight="1" x14ac:dyDescent="0.3">
      <c r="B22" s="13"/>
      <c r="D22" s="16"/>
      <c r="F22" s="14" t="str">
        <f>IF(Tablo1348913141516[[#This Row],[SATIŞ]]=0,"Açık",(E22-D22)*C22-3)</f>
        <v>Açık</v>
      </c>
      <c r="G22" s="15">
        <f>IF(Tablo1348913141516[[#This Row],[ALIŞ]]&gt;0,Tablo1348913141516[[#This Row],[ADET]]*Tablo1348913141516[[#This Row],[ALIŞ]]+1.5,0)</f>
        <v>0</v>
      </c>
      <c r="H22" s="15">
        <f>IF(Tablo1348913141516[[#This Row],[SATIŞ]]&gt;0,(Tablo1348913141516[[#This Row],[ADET]]*Tablo1348913141516[[#This Row],[SATIŞ]]-1.5),0)</f>
        <v>0</v>
      </c>
    </row>
    <row r="23" spans="2:8" ht="21" customHeight="1" x14ac:dyDescent="0.3">
      <c r="B23" s="13"/>
      <c r="D23" s="16"/>
      <c r="F23" s="14" t="str">
        <f>IF(Tablo1348913141516[[#This Row],[SATIŞ]]=0,"Açık",(E23-D23)*C23-3)</f>
        <v>Açık</v>
      </c>
      <c r="G23" s="15">
        <f>IF(Tablo1348913141516[[#This Row],[ALIŞ]]&gt;0,Tablo1348913141516[[#This Row],[ADET]]*Tablo1348913141516[[#This Row],[ALIŞ]]+1.5,0)</f>
        <v>0</v>
      </c>
      <c r="H23" s="15">
        <f>IF(Tablo1348913141516[[#This Row],[SATIŞ]]&gt;0,(Tablo1348913141516[[#This Row],[ADET]]*Tablo1348913141516[[#This Row],[SATIŞ]]-1.5),0)</f>
        <v>0</v>
      </c>
    </row>
    <row r="24" spans="2:8" ht="21" customHeight="1" x14ac:dyDescent="0.3">
      <c r="B24" s="13"/>
      <c r="D24" s="16"/>
      <c r="F24" s="14" t="str">
        <f>IF(Tablo1348913141516[[#This Row],[SATIŞ]]=0,"Açık",(E24-D24)*C24-3)</f>
        <v>Açık</v>
      </c>
      <c r="G24" s="15">
        <f>IF(Tablo1348913141516[[#This Row],[ALIŞ]]&gt;0,Tablo1348913141516[[#This Row],[ADET]]*Tablo1348913141516[[#This Row],[ALIŞ]]+1.5,0)</f>
        <v>0</v>
      </c>
      <c r="H24" s="15">
        <f>IF(Tablo1348913141516[[#This Row],[SATIŞ]]&gt;0,(Tablo1348913141516[[#This Row],[ADET]]*Tablo1348913141516[[#This Row],[SATIŞ]]-1.5),0)</f>
        <v>0</v>
      </c>
    </row>
    <row r="25" spans="2:8" ht="21" customHeight="1" x14ac:dyDescent="0.3">
      <c r="B25" s="13"/>
      <c r="D25" s="16"/>
      <c r="F25" s="14" t="str">
        <f>IF(Tablo1348913141516[[#This Row],[SATIŞ]]=0,"Açık",(E25-D25)*C25-3)</f>
        <v>Açık</v>
      </c>
      <c r="G25" s="15">
        <f>IF(Tablo1348913141516[[#This Row],[ALIŞ]]&gt;0,Tablo1348913141516[[#This Row],[ADET]]*Tablo1348913141516[[#This Row],[ALIŞ]]+1.5,0)</f>
        <v>0</v>
      </c>
      <c r="H25" s="15">
        <f>IF(Tablo1348913141516[[#This Row],[SATIŞ]]&gt;0,(Tablo1348913141516[[#This Row],[ADET]]*Tablo1348913141516[[#This Row],[SATIŞ]]-1.5),0)</f>
        <v>0</v>
      </c>
    </row>
    <row r="26" spans="2:8" ht="21" customHeight="1" x14ac:dyDescent="0.3">
      <c r="B26" s="13"/>
      <c r="D26" s="16"/>
      <c r="F26" s="14" t="str">
        <f>IF(Tablo1348913141516[[#This Row],[SATIŞ]]=0,"Açık",(E26-D26)*C26-3)</f>
        <v>Açık</v>
      </c>
      <c r="G26" s="15">
        <f>IF(Tablo1348913141516[[#This Row],[ALIŞ]]&gt;0,Tablo1348913141516[[#This Row],[ADET]]*Tablo1348913141516[[#This Row],[ALIŞ]]+1.5,0)</f>
        <v>0</v>
      </c>
      <c r="H26" s="15">
        <f>IF(Tablo1348913141516[[#This Row],[SATIŞ]]&gt;0,(Tablo1348913141516[[#This Row],[ADET]]*Tablo1348913141516[[#This Row],[SATIŞ]]-1.5),0)</f>
        <v>0</v>
      </c>
    </row>
    <row r="27" spans="2:8" ht="21" customHeight="1" x14ac:dyDescent="0.3">
      <c r="B27" s="13"/>
      <c r="D27" s="16"/>
      <c r="F27" s="14" t="str">
        <f>IF(Tablo1348913141516[[#This Row],[SATIŞ]]=0,"Açık",(E27-D27)*C27-3)</f>
        <v>Açık</v>
      </c>
      <c r="G27" s="15">
        <f>IF(Tablo1348913141516[[#This Row],[ALIŞ]]&gt;0,Tablo1348913141516[[#This Row],[ADET]]*Tablo1348913141516[[#This Row],[ALIŞ]]+1.5,0)</f>
        <v>0</v>
      </c>
      <c r="H27" s="15">
        <f>IF(Tablo1348913141516[[#This Row],[SATIŞ]]&gt;0,(Tablo1348913141516[[#This Row],[ADET]]*Tablo1348913141516[[#This Row],[SATIŞ]]-1.5),0)</f>
        <v>0</v>
      </c>
    </row>
  </sheetData>
  <conditionalFormatting sqref="B4:E4 B5:F27">
    <cfRule type="expression" dxfId="107" priority="4">
      <formula>$F4&lt;0</formula>
    </cfRule>
    <cfRule type="expression" dxfId="106" priority="5">
      <formula>$F4="Açık"</formula>
    </cfRule>
    <cfRule type="expression" dxfId="105" priority="6">
      <formula>$F4&gt;0</formula>
    </cfRule>
  </conditionalFormatting>
  <conditionalFormatting sqref="F4">
    <cfRule type="expression" dxfId="104" priority="1">
      <formula>$F4&lt;0</formula>
    </cfRule>
    <cfRule type="expression" dxfId="103" priority="2">
      <formula>$F4="Açık"</formula>
    </cfRule>
    <cfRule type="expression" dxfId="102" priority="3">
      <formula>$F4&gt;0</formula>
    </cfRule>
  </conditionalFormatting>
  <hyperlinks>
    <hyperlink ref="B1" location="İcmal!A1" display="ANA SAYFA" xr:uid="{75085F8B-E9A5-4950-ABAC-A5203F052565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3175-D6E6-4A53-92EE-8573B04FE5CB}">
  <dimension ref="B1:R27"/>
  <sheetViews>
    <sheetView workbookViewId="0">
      <selection activeCell="F5" sqref="F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SUMIF(Tablo1345[KAR],"Açık",Tablo1345[ADET])</f>
        <v>0</v>
      </c>
      <c r="D1" s="3"/>
      <c r="E1" s="3">
        <f>C1*D1</f>
        <v>0</v>
      </c>
      <c r="F1" s="3" t="str">
        <f>IFERROR(((SUM(Tablo1345[ALIŞ TUTAR])-SUM(Tablo1345[SATIŞ TUTAR]))/C1),"")</f>
        <v/>
      </c>
      <c r="G1" s="3">
        <f>IF(M3=0,L3,C1*(D1-F1))</f>
        <v>5.3100000000000023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SUM(Tablo1345[KAR])</f>
        <v>5.3100000000000023</v>
      </c>
      <c r="M3" s="12">
        <f>C1</f>
        <v>0</v>
      </c>
    </row>
    <row r="4" spans="2:18" ht="21" customHeight="1" x14ac:dyDescent="0.3">
      <c r="B4" s="13">
        <v>44725</v>
      </c>
      <c r="C4" s="8">
        <v>4</v>
      </c>
      <c r="D4" s="3">
        <v>36.86</v>
      </c>
      <c r="E4" s="3">
        <v>38.75</v>
      </c>
      <c r="F4" s="14">
        <f>IF(Tablo1345[[#This Row],[SATIŞ]]=0,"Açık",(E4-D4)*C4-3)</f>
        <v>4.5600000000000023</v>
      </c>
      <c r="G4" s="15">
        <f>IF(Tablo1345[[#This Row],[ALIŞ]]&gt;0,Tablo1345[[#This Row],[ADET]]*Tablo1345[[#This Row],[ALIŞ]]+1.5,0)</f>
        <v>148.94</v>
      </c>
      <c r="H4" s="15">
        <f>IF(Tablo1345[[#This Row],[SATIŞ]]&gt;0,(Tablo1345[[#This Row],[ADET]]*Tablo1345[[#This Row],[SATIŞ]]-1.5),0)</f>
        <v>153.5</v>
      </c>
      <c r="L4" s="5"/>
      <c r="M4" s="5"/>
      <c r="N4" s="5"/>
    </row>
    <row r="5" spans="2:18" ht="21" customHeight="1" x14ac:dyDescent="0.3">
      <c r="B5" s="13">
        <v>44747</v>
      </c>
      <c r="C5" s="8">
        <v>5</v>
      </c>
      <c r="D5" s="3">
        <v>37.5</v>
      </c>
      <c r="E5" s="3">
        <v>38.25</v>
      </c>
      <c r="F5" s="14">
        <f>IF(Tablo1345[[#This Row],[SATIŞ]]=0,"Açık",(E5-D5)*C5-3)</f>
        <v>0.75</v>
      </c>
      <c r="G5" s="15">
        <f>IF(Tablo1345[[#This Row],[ALIŞ]]&gt;0,Tablo1345[[#This Row],[ADET]]*Tablo1345[[#This Row],[ALIŞ]]+1.5,0)</f>
        <v>189</v>
      </c>
      <c r="H5" s="15">
        <f>IF(Tablo1345[[#This Row],[SATIŞ]]&gt;0,(Tablo1345[[#This Row],[ADET]]*Tablo1345[[#This Row],[SATIŞ]]-1.5),0)</f>
        <v>189.75</v>
      </c>
    </row>
    <row r="6" spans="2:18" ht="21" customHeight="1" x14ac:dyDescent="0.3">
      <c r="B6" s="13"/>
      <c r="D6" s="3"/>
      <c r="E6" s="3"/>
      <c r="F6" s="14" t="str">
        <f>IF(Tablo1345[[#This Row],[SATIŞ]]=0,"Açık",(E6-D6)*C6-3)</f>
        <v>Açık</v>
      </c>
      <c r="G6" s="15">
        <f>IF(Tablo1345[[#This Row],[ALIŞ]]&gt;0,Tablo1345[[#This Row],[ADET]]*Tablo1345[[#This Row],[ALIŞ]]+1.5,0)</f>
        <v>0</v>
      </c>
      <c r="H6" s="15">
        <f>IF(Tablo1345[[#This Row],[SATIŞ]]&gt;0,(Tablo1345[[#This Row],[ADET]]*Tablo1345[[#This Row],[SATIŞ]]-1.5),0)</f>
        <v>0</v>
      </c>
    </row>
    <row r="7" spans="2:18" ht="21" customHeight="1" x14ac:dyDescent="0.3">
      <c r="B7" s="13"/>
      <c r="D7" s="3"/>
      <c r="E7" s="3"/>
      <c r="F7" s="14" t="str">
        <f>IF(Tablo1345[[#This Row],[SATIŞ]]=0,"Açık",(E7-D7)*C7-3)</f>
        <v>Açık</v>
      </c>
      <c r="G7" s="15">
        <f>IF(Tablo1345[[#This Row],[ALIŞ]]&gt;0,Tablo1345[[#This Row],[ADET]]*Tablo1345[[#This Row],[ALIŞ]]+1.5,0)</f>
        <v>0</v>
      </c>
      <c r="H7" s="15">
        <f>IF(Tablo1345[[#This Row],[SATIŞ]]&gt;0,(Tablo1345[[#This Row],[ADET]]*Tablo1345[[#This Row],[SATIŞ]]-1.5),0)</f>
        <v>0</v>
      </c>
    </row>
    <row r="8" spans="2:18" ht="21" customHeight="1" x14ac:dyDescent="0.3">
      <c r="B8" s="13"/>
      <c r="D8" s="3"/>
      <c r="E8" s="3"/>
      <c r="F8" s="14" t="str">
        <f>IF(Tablo1345[[#This Row],[SATIŞ]]=0,"Açık",(E8-D8)*C8-3)</f>
        <v>Açık</v>
      </c>
      <c r="G8" s="15">
        <f>IF(Tablo1345[[#This Row],[ALIŞ]]&gt;0,Tablo1345[[#This Row],[ADET]]*Tablo1345[[#This Row],[ALIŞ]]+1.5,0)</f>
        <v>0</v>
      </c>
      <c r="H8" s="15">
        <f>IF(Tablo1345[[#This Row],[SATIŞ]]&gt;0,(Tablo1345[[#This Row],[ADET]]*Tablo1345[[#This Row],[SATIŞ]]-1.5),0)</f>
        <v>0</v>
      </c>
    </row>
    <row r="9" spans="2:18" ht="21" customHeight="1" x14ac:dyDescent="0.3">
      <c r="B9" s="13"/>
      <c r="D9" s="3"/>
      <c r="E9" s="3"/>
      <c r="F9" s="14" t="str">
        <f>IF(Tablo1345[[#This Row],[SATIŞ]]=0,"Açık",(E9-D9)*C9-3)</f>
        <v>Açık</v>
      </c>
      <c r="G9" s="15">
        <f>IF(Tablo1345[[#This Row],[ALIŞ]]&gt;0,Tablo1345[[#This Row],[ADET]]*Tablo1345[[#This Row],[ALIŞ]]+1.5,0)</f>
        <v>0</v>
      </c>
      <c r="H9" s="15">
        <f>IF(Tablo1345[[#This Row],[SATIŞ]]&gt;0,(Tablo1345[[#This Row],[ADET]]*Tablo1345[[#This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IF(Tablo1345[[#This Row],[SATIŞ]]=0,"Açık",(E10-D10)*C10-3)</f>
        <v>Açık</v>
      </c>
      <c r="G10" s="15">
        <f>IF(Tablo1345[[#This Row],[ALIŞ]]&gt;0,Tablo1345[[#This Row],[ADET]]*Tablo1345[[#This Row],[ALIŞ]]+1.5,0)</f>
        <v>0</v>
      </c>
      <c r="H10" s="15">
        <f>IF(Tablo1345[[#This Row],[SATIŞ]]&gt;0,(Tablo1345[[#This Row],[ADET]]*Tablo1345[[#This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IF(Tablo1345[[#This Row],[SATIŞ]]=0,"Açık",(E11-D11)*C11-3)</f>
        <v>Açık</v>
      </c>
      <c r="G11" s="15">
        <f>IF(Tablo1345[[#This Row],[ALIŞ]]&gt;0,Tablo1345[[#This Row],[ADET]]*Tablo1345[[#This Row],[ALIŞ]]+1.5,0)</f>
        <v>0</v>
      </c>
      <c r="H11" s="15">
        <f>IF(Tablo1345[[#This Row],[SATIŞ]]&gt;0,(Tablo1345[[#This Row],[ADET]]*Tablo1345[[#This Row],[SATIŞ]]-1.5),0)</f>
        <v>0</v>
      </c>
      <c r="J11">
        <f>+Tablo1345[[#This Row],[ALIŞ]]*1.02</f>
        <v>0</v>
      </c>
    </row>
    <row r="12" spans="2:18" ht="21" customHeight="1" x14ac:dyDescent="0.3">
      <c r="B12" s="13"/>
      <c r="D12" s="3"/>
      <c r="E12" s="3"/>
      <c r="F12" s="14" t="str">
        <f>IF(Tablo1345[[#This Row],[SATIŞ]]=0,"Açık",(E12-D12)*C12-3)</f>
        <v>Açık</v>
      </c>
      <c r="G12" s="15">
        <f>IF(Tablo1345[[#This Row],[ALIŞ]]&gt;0,Tablo1345[[#This Row],[ADET]]*Tablo1345[[#This Row],[ALIŞ]]+1.5,0)</f>
        <v>0</v>
      </c>
      <c r="H12" s="15">
        <f>IF(Tablo1345[[#This Row],[SATIŞ]]&gt;0,(Tablo1345[[#This Row],[ADET]]*Tablo1345[[#This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IF(Tablo1345[[#This Row],[SATIŞ]]=0,"Açık",(E13-D13)*C13-3)</f>
        <v>Açık</v>
      </c>
      <c r="G13" s="15">
        <f>IF(Tablo1345[[#This Row],[ALIŞ]]&gt;0,Tablo1345[[#This Row],[ADET]]*Tablo1345[[#This Row],[ALIŞ]]+1.5,0)</f>
        <v>0</v>
      </c>
      <c r="H13" s="15">
        <f>IF(Tablo1345[[#This Row],[SATIŞ]]&gt;0,(Tablo1345[[#This Row],[ADET]]*Tablo1345[[#This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IF(Tablo1345[[#This Row],[SATIŞ]]=0,"Açık",(E14-D14)*C14-3)</f>
        <v>Açık</v>
      </c>
      <c r="G14" s="15">
        <f>IF(Tablo1345[[#This Row],[ALIŞ]]&gt;0,Tablo1345[[#This Row],[ADET]]*Tablo1345[[#This Row],[ALIŞ]]+1.5,0)</f>
        <v>0</v>
      </c>
      <c r="H14" s="15">
        <f>IF(Tablo1345[[#This Row],[SATIŞ]]&gt;0,(Tablo1345[[#This Row],[ADET]]*Tablo1345[[#This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IF(Tablo1345[[#This Row],[SATIŞ]]=0,"Açık",(E15-D15)*C15-3)</f>
        <v>Açık</v>
      </c>
      <c r="G15" s="15">
        <f>IF(Tablo1345[[#This Row],[ALIŞ]]&gt;0,Tablo1345[[#This Row],[ADET]]*Tablo1345[[#This Row],[ALIŞ]]+1.5,0)</f>
        <v>0</v>
      </c>
      <c r="H15" s="15">
        <f>IF(Tablo1345[[#This Row],[SATIŞ]]&gt;0,(Tablo1345[[#This Row],[ADET]]*Tablo1345[[#This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IF(Tablo1345[[#This Row],[SATIŞ]]=0,"Açık",(E16-D16)*C16-3)</f>
        <v>Açık</v>
      </c>
      <c r="G16" s="15">
        <f>IF(Tablo1345[[#This Row],[ALIŞ]]&gt;0,Tablo1345[[#This Row],[ADET]]*Tablo1345[[#This Row],[ALIŞ]]+1.5,0)</f>
        <v>0</v>
      </c>
      <c r="H16" s="15">
        <f>IF(Tablo1345[[#This Row],[SATIŞ]]&gt;0,(Tablo1345[[#This Row],[ADET]]*Tablo1345[[#This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IF(Tablo1345[[#This Row],[SATIŞ]]=0,"Açık",(E17-D17)*C17-3)</f>
        <v>Açık</v>
      </c>
      <c r="G17" s="15">
        <f>IF(Tablo1345[[#This Row],[ALIŞ]]&gt;0,Tablo1345[[#This Row],[ADET]]*Tablo1345[[#This Row],[ALIŞ]]+1.5,0)</f>
        <v>0</v>
      </c>
      <c r="H17" s="15">
        <f>IF(Tablo1345[[#This Row],[SATIŞ]]&gt;0,(Tablo1345[[#This Row],[ADET]]*Tablo1345[[#This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IF(Tablo1345[[#This Row],[SATIŞ]]=0,"Açık",(E18-D18)*C18-3)</f>
        <v>Açık</v>
      </c>
      <c r="G18" s="15">
        <f>IF(Tablo1345[[#This Row],[ALIŞ]]&gt;0,Tablo1345[[#This Row],[ADET]]*Tablo1345[[#This Row],[ALIŞ]]+1.5,0)</f>
        <v>0</v>
      </c>
      <c r="H18" s="15">
        <f>IF(Tablo1345[[#This Row],[SATIŞ]]&gt;0,(Tablo1345[[#This Row],[ADET]]*Tablo1345[[#This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IF(Tablo1345[[#This Row],[SATIŞ]]=0,"Açık",(E19-D19)*C19-3)</f>
        <v>Açık</v>
      </c>
      <c r="G19" s="15">
        <f>IF(Tablo1345[[#This Row],[ALIŞ]]&gt;0,Tablo1345[[#This Row],[ADET]]*Tablo1345[[#This Row],[ALIŞ]]+1.5,0)</f>
        <v>0</v>
      </c>
      <c r="H19" s="15">
        <f>IF(Tablo1345[[#This Row],[SATIŞ]]&gt;0,(Tablo1345[[#This Row],[ADET]]*Tablo1345[[#This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IF(Tablo1345[[#This Row],[SATIŞ]]=0,"Açık",(E20-D20)*C20-3)</f>
        <v>Açık</v>
      </c>
      <c r="G20" s="15">
        <f>IF(Tablo1345[[#This Row],[ALIŞ]]&gt;0,Tablo1345[[#This Row],[ADET]]*Tablo1345[[#This Row],[ALIŞ]]+1.5,0)</f>
        <v>0</v>
      </c>
      <c r="H20" s="15">
        <f>IF(Tablo1345[[#This Row],[SATIŞ]]&gt;0,(Tablo1345[[#This Row],[ADET]]*Tablo1345[[#This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IF(Tablo1345[[#This Row],[SATIŞ]]=0,"Açık",(E21-D21)*C21-3)</f>
        <v>Açık</v>
      </c>
      <c r="G21" s="15">
        <f>IF(Tablo1345[[#This Row],[ALIŞ]]&gt;0,Tablo1345[[#This Row],[ADET]]*Tablo1345[[#This Row],[ALIŞ]]+1.5,0)</f>
        <v>0</v>
      </c>
      <c r="H21" s="15">
        <f>IF(Tablo1345[[#This Row],[SATIŞ]]&gt;0,(Tablo1345[[#This Row],[ADET]]*Tablo1345[[#This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IF(Tablo1345[[#This Row],[SATIŞ]]=0,"Açık",(E22-D22)*C22-3)</f>
        <v>Açık</v>
      </c>
      <c r="G22" s="15">
        <f>IF(Tablo1345[[#This Row],[ALIŞ]]&gt;0,Tablo1345[[#This Row],[ADET]]*Tablo1345[[#This Row],[ALIŞ]]+1.5,0)</f>
        <v>0</v>
      </c>
      <c r="H22" s="15">
        <f>IF(Tablo1345[[#This Row],[SATIŞ]]&gt;0,(Tablo1345[[#This Row],[ADET]]*Tablo1345[[#This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IF(Tablo1345[[#This Row],[SATIŞ]]=0,"Açık",(E23-D23)*C23-3)</f>
        <v>Açık</v>
      </c>
      <c r="G23" s="15">
        <f>IF(Tablo1345[[#This Row],[ALIŞ]]&gt;0,Tablo1345[[#This Row],[ADET]]*Tablo1345[[#This Row],[ALIŞ]]+1.5,0)</f>
        <v>0</v>
      </c>
      <c r="H23" s="15">
        <f>IF(Tablo1345[[#This Row],[SATIŞ]]&gt;0,(Tablo1345[[#This Row],[ADET]]*Tablo1345[[#This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IF(Tablo1345[[#This Row],[SATIŞ]]=0,"Açık",(E24-D24)*C24-3)</f>
        <v>Açık</v>
      </c>
      <c r="G24" s="15">
        <f>IF(Tablo1345[[#This Row],[ALIŞ]]&gt;0,Tablo1345[[#This Row],[ADET]]*Tablo1345[[#This Row],[ALIŞ]]+1.5,0)</f>
        <v>0</v>
      </c>
      <c r="H24" s="15">
        <f>IF(Tablo1345[[#This Row],[SATIŞ]]&gt;0,(Tablo1345[[#This Row],[ADET]]*Tablo1345[[#This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IF(Tablo1345[[#This Row],[SATIŞ]]=0,"Açık",(E25-D25)*C25-3)</f>
        <v>Açık</v>
      </c>
      <c r="G25" s="15">
        <f>IF(Tablo1345[[#This Row],[ALIŞ]]&gt;0,Tablo1345[[#This Row],[ADET]]*Tablo1345[[#This Row],[ALIŞ]]+1.5,0)</f>
        <v>0</v>
      </c>
      <c r="H25" s="15">
        <f>IF(Tablo1345[[#This Row],[SATIŞ]]&gt;0,(Tablo1345[[#This Row],[ADET]]*Tablo1345[[#This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IF(Tablo1345[[#This Row],[SATIŞ]]=0,"Açık",(E26-D26)*C26-3)</f>
        <v>Açık</v>
      </c>
      <c r="G26" s="15">
        <f>IF(Tablo1345[[#This Row],[ALIŞ]]&gt;0,Tablo1345[[#This Row],[ADET]]*Tablo1345[[#This Row],[ALIŞ]]+1.5,0)</f>
        <v>0</v>
      </c>
      <c r="H26" s="15">
        <f>IF(Tablo1345[[#This Row],[SATIŞ]]&gt;0,(Tablo1345[[#This Row],[ADET]]*Tablo1345[[#This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IF(Tablo1345[[#This Row],[SATIŞ]]=0,"Açık",(E27-D27)*C27-3)</f>
        <v>Açık</v>
      </c>
      <c r="G27" s="15">
        <f>IF(Tablo1345[[#This Row],[ALIŞ]]&gt;0,Tablo1345[[#This Row],[ADET]]*Tablo1345[[#This Row],[ALIŞ]]+1.5,0)</f>
        <v>0</v>
      </c>
      <c r="H27" s="15">
        <f>IF(Tablo1345[[#This Row],[SATIŞ]]&gt;0,(Tablo1345[[#This Row],[ADET]]*Tablo1345[[#This Row],[SATIŞ]]-1.5),0)</f>
        <v>0</v>
      </c>
    </row>
  </sheetData>
  <conditionalFormatting sqref="B4:E4 B5:F27">
    <cfRule type="expression" dxfId="101" priority="4">
      <formula>$F4&lt;0</formula>
    </cfRule>
    <cfRule type="expression" dxfId="100" priority="5">
      <formula>$F4="Açık"</formula>
    </cfRule>
    <cfRule type="expression" dxfId="99" priority="6">
      <formula>$F4&gt;0</formula>
    </cfRule>
  </conditionalFormatting>
  <conditionalFormatting sqref="F4">
    <cfRule type="expression" dxfId="98" priority="1">
      <formula>$F4&lt;0</formula>
    </cfRule>
    <cfRule type="expression" dxfId="97" priority="2">
      <formula>$F4="Açık"</formula>
    </cfRule>
    <cfRule type="expression" dxfId="96" priority="3">
      <formula>$F4&gt;0</formula>
    </cfRule>
  </conditionalFormatting>
  <hyperlinks>
    <hyperlink ref="B1" location="İcmal!A1" display="ANA SAYFA" xr:uid="{664DA3D9-FEC8-408A-B6C7-70B07EBEF73D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72EF-6648-49AD-8A84-922217994DA0}">
  <dimension ref="B1:R27"/>
  <sheetViews>
    <sheetView workbookViewId="0">
      <selection activeCell="E5" sqref="E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SUMIF(Tablo13489131415161718192021[KAR],"Açık",Tablo13489131415161718192021[ADET])</f>
        <v>0</v>
      </c>
      <c r="D1" s="3"/>
      <c r="E1" s="3">
        <f>C1*D1</f>
        <v>0</v>
      </c>
      <c r="F1" s="3" t="str">
        <f>IFERROR(((SUM(Tablo13489131415161718192021[ALIŞ TUTAR])-SUM(Tablo13489131415161718192021[SATIŞ TUTAR]))/C1),"")</f>
        <v/>
      </c>
      <c r="G1" s="3">
        <f>IF(M3=0,L3,C1*(D1-F1))</f>
        <v>22.460000000000008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SUM(Tablo13489131415161718192021[KAR])</f>
        <v>22.460000000000008</v>
      </c>
      <c r="M3" s="12">
        <f>C1</f>
        <v>0</v>
      </c>
    </row>
    <row r="4" spans="2:18" ht="21" customHeight="1" x14ac:dyDescent="0.3">
      <c r="B4" s="13">
        <v>44897</v>
      </c>
      <c r="C4" s="8">
        <v>2</v>
      </c>
      <c r="D4" s="16">
        <v>79.27</v>
      </c>
      <c r="E4" s="3">
        <v>92</v>
      </c>
      <c r="F4" s="14">
        <f>IF(Tablo13489131415161718192021[[#This Row],[SATIŞ]]=0,"Açık",(E4-D4)*C4-3)</f>
        <v>22.460000000000008</v>
      </c>
      <c r="G4" s="15">
        <f>IF(Tablo13489131415161718192021[[#This Row],[ALIŞ]]&gt;0,Tablo13489131415161718192021[[#This Row],[ADET]]*Tablo13489131415161718192021[[#This Row],[ALIŞ]]+1.5,0)</f>
        <v>160.04</v>
      </c>
      <c r="H4" s="15">
        <f>IF(Tablo13489131415161718192021[[#This Row],[SATIŞ]]&gt;0,(Tablo13489131415161718192021[[#This Row],[ADET]]*Tablo13489131415161718192021[[#This Row],[SATIŞ]]-1.5),0)</f>
        <v>182.5</v>
      </c>
      <c r="L4" s="5"/>
      <c r="M4" s="5"/>
      <c r="N4" s="5"/>
    </row>
    <row r="5" spans="2:18" ht="21" customHeight="1" x14ac:dyDescent="0.3">
      <c r="B5" s="13"/>
      <c r="D5" s="16"/>
      <c r="E5" s="3"/>
      <c r="F5" s="14" t="str">
        <f>IF(Tablo13489131415161718192021[[#This Row],[SATIŞ]]=0,"Açık",(E5-D5)*C5-3)</f>
        <v>Açık</v>
      </c>
      <c r="G5" s="15">
        <f>IF(Tablo13489131415161718192021[[#This Row],[ALIŞ]]&gt;0,Tablo13489131415161718192021[[#This Row],[ADET]]*Tablo13489131415161718192021[[#This Row],[ALIŞ]]+1.5,0)</f>
        <v>0</v>
      </c>
      <c r="H5" s="15">
        <f>IF(Tablo13489131415161718192021[[#This Row],[SATIŞ]]&gt;0,(Tablo13489131415161718192021[[#This Row],[ADET]]*Tablo13489131415161718192021[[#This Row],[SATIŞ]]-1.5),0)</f>
        <v>0</v>
      </c>
    </row>
    <row r="6" spans="2:18" ht="21" customHeight="1" x14ac:dyDescent="0.3">
      <c r="B6" s="13"/>
      <c r="D6" s="16"/>
      <c r="E6" s="3"/>
      <c r="F6" s="14" t="str">
        <f>IF(Tablo13489131415161718192021[[#This Row],[SATIŞ]]=0,"Açık",(E6-D6)*C6-3)</f>
        <v>Açık</v>
      </c>
      <c r="G6" s="15">
        <f>IF(Tablo13489131415161718192021[[#This Row],[ALIŞ]]&gt;0,Tablo13489131415161718192021[[#This Row],[ADET]]*Tablo13489131415161718192021[[#This Row],[ALIŞ]]+1.5,0)</f>
        <v>0</v>
      </c>
      <c r="H6" s="15">
        <f>IF(Tablo13489131415161718192021[[#This Row],[SATIŞ]]&gt;0,(Tablo13489131415161718192021[[#This Row],[ADET]]*Tablo13489131415161718192021[[#This Row],[SATIŞ]]-1.5),0)</f>
        <v>0</v>
      </c>
    </row>
    <row r="7" spans="2:18" ht="21" customHeight="1" x14ac:dyDescent="0.3">
      <c r="B7" s="13"/>
      <c r="D7" s="16"/>
      <c r="E7" s="3"/>
      <c r="F7" s="14" t="str">
        <f>IF(Tablo13489131415161718192021[[#This Row],[SATIŞ]]=0,"Açık",(E7-D7)*C7-3)</f>
        <v>Açık</v>
      </c>
      <c r="G7" s="15">
        <f>IF(Tablo13489131415161718192021[[#This Row],[ALIŞ]]&gt;0,Tablo13489131415161718192021[[#This Row],[ADET]]*Tablo13489131415161718192021[[#This Row],[ALIŞ]]+1.5,0)</f>
        <v>0</v>
      </c>
      <c r="H7" s="15">
        <f>IF(Tablo13489131415161718192021[[#This Row],[SATIŞ]]&gt;0,(Tablo13489131415161718192021[[#This Row],[ADET]]*Tablo13489131415161718192021[[#This Row],[SATIŞ]]-1.5),0)</f>
        <v>0</v>
      </c>
    </row>
    <row r="8" spans="2:18" ht="21" customHeight="1" x14ac:dyDescent="0.3">
      <c r="B8" s="13"/>
      <c r="D8" s="16"/>
      <c r="E8" s="3"/>
      <c r="F8" s="14" t="str">
        <f>IF(Tablo13489131415161718192021[[#This Row],[SATIŞ]]=0,"Açık",(E8-D8)*C8-3)</f>
        <v>Açık</v>
      </c>
      <c r="G8" s="15">
        <f>IF(Tablo13489131415161718192021[[#This Row],[ALIŞ]]&gt;0,Tablo13489131415161718192021[[#This Row],[ADET]]*Tablo13489131415161718192021[[#This Row],[ALIŞ]]+1.5,0)</f>
        <v>0</v>
      </c>
      <c r="H8" s="15">
        <f>IF(Tablo13489131415161718192021[[#This Row],[SATIŞ]]&gt;0,(Tablo13489131415161718192021[[#This Row],[ADET]]*Tablo13489131415161718192021[[#This Row],[SATIŞ]]-1.5),0)</f>
        <v>0</v>
      </c>
    </row>
    <row r="9" spans="2:18" ht="21" customHeight="1" x14ac:dyDescent="0.3">
      <c r="B9" s="13"/>
      <c r="D9" s="16"/>
      <c r="E9" s="3"/>
      <c r="F9" s="14" t="str">
        <f>IF(Tablo13489131415161718192021[[#This Row],[SATIŞ]]=0,"Açık",(E9-D9)*C9-3)</f>
        <v>Açık</v>
      </c>
      <c r="G9" s="15">
        <f>IF(Tablo13489131415161718192021[[#This Row],[ALIŞ]]&gt;0,Tablo13489131415161718192021[[#This Row],[ADET]]*Tablo13489131415161718192021[[#This Row],[ALIŞ]]+1.5,0)</f>
        <v>0</v>
      </c>
      <c r="H9" s="15">
        <f>IF(Tablo13489131415161718192021[[#This Row],[SATIŞ]]&gt;0,(Tablo13489131415161718192021[[#This Row],[ADET]]*Tablo13489131415161718192021[[#This Row],[SATIŞ]]-1.5),0)</f>
        <v>0</v>
      </c>
    </row>
    <row r="10" spans="2:18" ht="21" customHeight="1" x14ac:dyDescent="0.3">
      <c r="B10" s="13"/>
      <c r="D10" s="16"/>
      <c r="E10" s="3"/>
      <c r="F10" s="14" t="str">
        <f>IF(Tablo13489131415161718192021[[#This Row],[SATIŞ]]=0,"Açık",(E10-D10)*C10-3)</f>
        <v>Açık</v>
      </c>
      <c r="G10" s="15">
        <f>IF(Tablo13489131415161718192021[[#This Row],[ALIŞ]]&gt;0,Tablo13489131415161718192021[[#This Row],[ADET]]*Tablo13489131415161718192021[[#This Row],[ALIŞ]]+1.5,0)</f>
        <v>0</v>
      </c>
      <c r="H10" s="15">
        <f>IF(Tablo13489131415161718192021[[#This Row],[SATIŞ]]&gt;0,(Tablo13489131415161718192021[[#This Row],[ADET]]*Tablo13489131415161718192021[[#This Row],[SATIŞ]]-1.5),0)</f>
        <v>0</v>
      </c>
    </row>
    <row r="11" spans="2:18" ht="21" customHeight="1" x14ac:dyDescent="0.3">
      <c r="B11" s="13"/>
      <c r="D11" s="16"/>
      <c r="E11" s="3"/>
      <c r="F11" s="14" t="str">
        <f>IF(Tablo13489131415161718192021[[#This Row],[SATIŞ]]=0,"Açık",(E11-D11)*C11-3)</f>
        <v>Açık</v>
      </c>
      <c r="G11" s="15">
        <f>IF(Tablo13489131415161718192021[[#This Row],[ALIŞ]]&gt;0,Tablo13489131415161718192021[[#This Row],[ADET]]*Tablo13489131415161718192021[[#This Row],[ALIŞ]]+1.5,0)</f>
        <v>0</v>
      </c>
      <c r="H11" s="15">
        <f>IF(Tablo13489131415161718192021[[#This Row],[SATIŞ]]&gt;0,(Tablo13489131415161718192021[[#This Row],[ADET]]*Tablo13489131415161718192021[[#This Row],[SATIŞ]]-1.5),0)</f>
        <v>0</v>
      </c>
      <c r="J11">
        <f>+Tablo13489131415161718192021[[#This Row],[ALIŞ]]*1.02</f>
        <v>0</v>
      </c>
    </row>
    <row r="12" spans="2:18" ht="21" customHeight="1" x14ac:dyDescent="0.3">
      <c r="B12" s="13"/>
      <c r="D12" s="16"/>
      <c r="E12" s="3"/>
      <c r="F12" s="14" t="str">
        <f>IF(Tablo13489131415161718192021[[#This Row],[SATIŞ]]=0,"Açık",(E12-D12)*C12-3)</f>
        <v>Açık</v>
      </c>
      <c r="G12" s="15">
        <f>IF(Tablo13489131415161718192021[[#This Row],[ALIŞ]]&gt;0,Tablo13489131415161718192021[[#This Row],[ADET]]*Tablo13489131415161718192021[[#This Row],[ALIŞ]]+1.5,0)</f>
        <v>0</v>
      </c>
      <c r="H12" s="15">
        <f>IF(Tablo13489131415161718192021[[#This Row],[SATIŞ]]&gt;0,(Tablo13489131415161718192021[[#This Row],[ADET]]*Tablo13489131415161718192021[[#This Row],[SATIŞ]]-1.5),0)</f>
        <v>0</v>
      </c>
    </row>
    <row r="13" spans="2:18" ht="21" customHeight="1" x14ac:dyDescent="0.3">
      <c r="B13" s="13"/>
      <c r="D13" s="16"/>
      <c r="E13" s="3"/>
      <c r="F13" s="14" t="str">
        <f>IF(Tablo13489131415161718192021[[#This Row],[SATIŞ]]=0,"Açık",(E13-D13)*C13-3)</f>
        <v>Açık</v>
      </c>
      <c r="G13" s="15">
        <f>IF(Tablo13489131415161718192021[[#This Row],[ALIŞ]]&gt;0,Tablo13489131415161718192021[[#This Row],[ADET]]*Tablo13489131415161718192021[[#This Row],[ALIŞ]]+1.5,0)</f>
        <v>0</v>
      </c>
      <c r="H13" s="15">
        <f>IF(Tablo13489131415161718192021[[#This Row],[SATIŞ]]&gt;0,(Tablo13489131415161718192021[[#This Row],[ADET]]*Tablo13489131415161718192021[[#This Row],[SATIŞ]]-1.5),0)</f>
        <v>0</v>
      </c>
    </row>
    <row r="14" spans="2:18" ht="21" customHeight="1" x14ac:dyDescent="0.3">
      <c r="B14" s="13"/>
      <c r="D14" s="16"/>
      <c r="E14" s="3"/>
      <c r="F14" s="14" t="str">
        <f>IF(Tablo13489131415161718192021[[#This Row],[SATIŞ]]=0,"Açık",(E14-D14)*C14-3)</f>
        <v>Açık</v>
      </c>
      <c r="G14" s="15">
        <f>IF(Tablo13489131415161718192021[[#This Row],[ALIŞ]]&gt;0,Tablo13489131415161718192021[[#This Row],[ADET]]*Tablo13489131415161718192021[[#This Row],[ALIŞ]]+1.5,0)</f>
        <v>0</v>
      </c>
      <c r="H14" s="15">
        <f>IF(Tablo13489131415161718192021[[#This Row],[SATIŞ]]&gt;0,(Tablo13489131415161718192021[[#This Row],[ADET]]*Tablo13489131415161718192021[[#This Row],[SATIŞ]]-1.5),0)</f>
        <v>0</v>
      </c>
    </row>
    <row r="15" spans="2:18" ht="21" customHeight="1" x14ac:dyDescent="0.3">
      <c r="B15" s="13"/>
      <c r="D15" s="16"/>
      <c r="E15" s="3"/>
      <c r="F15" s="14" t="str">
        <f>IF(Tablo13489131415161718192021[[#This Row],[SATIŞ]]=0,"Açık",(E15-D15)*C15-3)</f>
        <v>Açık</v>
      </c>
      <c r="G15" s="15">
        <f>IF(Tablo13489131415161718192021[[#This Row],[ALIŞ]]&gt;0,Tablo13489131415161718192021[[#This Row],[ADET]]*Tablo13489131415161718192021[[#This Row],[ALIŞ]]+1.5,0)</f>
        <v>0</v>
      </c>
      <c r="H15" s="15">
        <f>IF(Tablo13489131415161718192021[[#This Row],[SATIŞ]]&gt;0,(Tablo13489131415161718192021[[#This Row],[ADET]]*Tablo13489131415161718192021[[#This Row],[SATIŞ]]-1.5),0)</f>
        <v>0</v>
      </c>
    </row>
    <row r="16" spans="2:18" ht="21" customHeight="1" x14ac:dyDescent="0.3">
      <c r="B16" s="13"/>
      <c r="D16" s="16"/>
      <c r="E16" s="3"/>
      <c r="F16" s="14" t="str">
        <f>IF(Tablo13489131415161718192021[[#This Row],[SATIŞ]]=0,"Açık",(E16-D16)*C16-3)</f>
        <v>Açık</v>
      </c>
      <c r="G16" s="15">
        <f>IF(Tablo13489131415161718192021[[#This Row],[ALIŞ]]&gt;0,Tablo13489131415161718192021[[#This Row],[ADET]]*Tablo13489131415161718192021[[#This Row],[ALIŞ]]+1.5,0)</f>
        <v>0</v>
      </c>
      <c r="H16" s="15">
        <f>IF(Tablo13489131415161718192021[[#This Row],[SATIŞ]]&gt;0,(Tablo13489131415161718192021[[#This Row],[ADET]]*Tablo13489131415161718192021[[#This Row],[SATIŞ]]-1.5),0)</f>
        <v>0</v>
      </c>
    </row>
    <row r="17" spans="2:8" ht="21" customHeight="1" x14ac:dyDescent="0.3">
      <c r="B17" s="13"/>
      <c r="D17" s="16"/>
      <c r="E17" s="3"/>
      <c r="F17" s="14" t="str">
        <f>IF(Tablo13489131415161718192021[[#This Row],[SATIŞ]]=0,"Açık",(E17-D17)*C17-3)</f>
        <v>Açık</v>
      </c>
      <c r="G17" s="15">
        <f>IF(Tablo13489131415161718192021[[#This Row],[ALIŞ]]&gt;0,Tablo13489131415161718192021[[#This Row],[ADET]]*Tablo13489131415161718192021[[#This Row],[ALIŞ]]+1.5,0)</f>
        <v>0</v>
      </c>
      <c r="H17" s="15">
        <f>IF(Tablo13489131415161718192021[[#This Row],[SATIŞ]]&gt;0,(Tablo13489131415161718192021[[#This Row],[ADET]]*Tablo13489131415161718192021[[#This Row],[SATIŞ]]-1.5),0)</f>
        <v>0</v>
      </c>
    </row>
    <row r="18" spans="2:8" ht="21" customHeight="1" x14ac:dyDescent="0.3">
      <c r="B18" s="13"/>
      <c r="D18" s="16"/>
      <c r="E18" s="3"/>
      <c r="F18" s="14" t="str">
        <f>IF(Tablo13489131415161718192021[[#This Row],[SATIŞ]]=0,"Açık",(E18-D18)*C18-3)</f>
        <v>Açık</v>
      </c>
      <c r="G18" s="15">
        <f>IF(Tablo13489131415161718192021[[#This Row],[ALIŞ]]&gt;0,Tablo13489131415161718192021[[#This Row],[ADET]]*Tablo13489131415161718192021[[#This Row],[ALIŞ]]+1.5,0)</f>
        <v>0</v>
      </c>
      <c r="H18" s="15">
        <f>IF(Tablo13489131415161718192021[[#This Row],[SATIŞ]]&gt;0,(Tablo13489131415161718192021[[#This Row],[ADET]]*Tablo13489131415161718192021[[#This Row],[SATIŞ]]-1.5),0)</f>
        <v>0</v>
      </c>
    </row>
    <row r="19" spans="2:8" ht="21" customHeight="1" x14ac:dyDescent="0.3">
      <c r="B19" s="13"/>
      <c r="D19" s="16"/>
      <c r="E19" s="3"/>
      <c r="F19" s="14" t="str">
        <f>IF(Tablo13489131415161718192021[[#This Row],[SATIŞ]]=0,"Açık",(E19-D19)*C19-3)</f>
        <v>Açık</v>
      </c>
      <c r="G19" s="15">
        <f>IF(Tablo13489131415161718192021[[#This Row],[ALIŞ]]&gt;0,Tablo13489131415161718192021[[#This Row],[ADET]]*Tablo13489131415161718192021[[#This Row],[ALIŞ]]+1.5,0)</f>
        <v>0</v>
      </c>
      <c r="H19" s="15">
        <f>IF(Tablo13489131415161718192021[[#This Row],[SATIŞ]]&gt;0,(Tablo13489131415161718192021[[#This Row],[ADET]]*Tablo13489131415161718192021[[#This Row],[SATIŞ]]-1.5),0)</f>
        <v>0</v>
      </c>
    </row>
    <row r="20" spans="2:8" ht="21" customHeight="1" x14ac:dyDescent="0.3">
      <c r="B20" s="13"/>
      <c r="D20" s="16"/>
      <c r="E20" s="3"/>
      <c r="F20" s="14" t="str">
        <f>IF(Tablo13489131415161718192021[[#This Row],[SATIŞ]]=0,"Açık",(E20-D20)*C20-3)</f>
        <v>Açık</v>
      </c>
      <c r="G20" s="15">
        <f>IF(Tablo13489131415161718192021[[#This Row],[ALIŞ]]&gt;0,Tablo13489131415161718192021[[#This Row],[ADET]]*Tablo13489131415161718192021[[#This Row],[ALIŞ]]+1.5,0)</f>
        <v>0</v>
      </c>
      <c r="H20" s="15">
        <f>IF(Tablo13489131415161718192021[[#This Row],[SATIŞ]]&gt;0,(Tablo13489131415161718192021[[#This Row],[ADET]]*Tablo13489131415161718192021[[#This Row],[SATIŞ]]-1.5),0)</f>
        <v>0</v>
      </c>
    </row>
    <row r="21" spans="2:8" ht="21" customHeight="1" x14ac:dyDescent="0.3">
      <c r="B21" s="13"/>
      <c r="D21" s="16"/>
      <c r="E21" s="3"/>
      <c r="F21" s="14" t="str">
        <f>IF(Tablo13489131415161718192021[[#This Row],[SATIŞ]]=0,"Açık",(E21-D21)*C21-3)</f>
        <v>Açık</v>
      </c>
      <c r="G21" s="15">
        <f>IF(Tablo13489131415161718192021[[#This Row],[ALIŞ]]&gt;0,Tablo13489131415161718192021[[#This Row],[ADET]]*Tablo13489131415161718192021[[#This Row],[ALIŞ]]+1.5,0)</f>
        <v>0</v>
      </c>
      <c r="H21" s="15">
        <f>IF(Tablo13489131415161718192021[[#This Row],[SATIŞ]]&gt;0,(Tablo13489131415161718192021[[#This Row],[ADET]]*Tablo13489131415161718192021[[#This Row],[SATIŞ]]-1.5),0)</f>
        <v>0</v>
      </c>
    </row>
    <row r="22" spans="2:8" ht="21" customHeight="1" x14ac:dyDescent="0.3">
      <c r="B22" s="13"/>
      <c r="D22" s="16"/>
      <c r="E22" s="3"/>
      <c r="F22" s="14" t="str">
        <f>IF(Tablo13489131415161718192021[[#This Row],[SATIŞ]]=0,"Açık",(E22-D22)*C22-3)</f>
        <v>Açık</v>
      </c>
      <c r="G22" s="15">
        <f>IF(Tablo13489131415161718192021[[#This Row],[ALIŞ]]&gt;0,Tablo13489131415161718192021[[#This Row],[ADET]]*Tablo13489131415161718192021[[#This Row],[ALIŞ]]+1.5,0)</f>
        <v>0</v>
      </c>
      <c r="H22" s="15">
        <f>IF(Tablo13489131415161718192021[[#This Row],[SATIŞ]]&gt;0,(Tablo13489131415161718192021[[#This Row],[ADET]]*Tablo13489131415161718192021[[#This Row],[SATIŞ]]-1.5),0)</f>
        <v>0</v>
      </c>
    </row>
    <row r="23" spans="2:8" ht="21" customHeight="1" x14ac:dyDescent="0.3">
      <c r="B23" s="13"/>
      <c r="D23" s="16"/>
      <c r="E23" s="3"/>
      <c r="F23" s="14" t="str">
        <f>IF(Tablo13489131415161718192021[[#This Row],[SATIŞ]]=0,"Açık",(E23-D23)*C23-3)</f>
        <v>Açık</v>
      </c>
      <c r="G23" s="15">
        <f>IF(Tablo13489131415161718192021[[#This Row],[ALIŞ]]&gt;0,Tablo13489131415161718192021[[#This Row],[ADET]]*Tablo13489131415161718192021[[#This Row],[ALIŞ]]+1.5,0)</f>
        <v>0</v>
      </c>
      <c r="H23" s="15">
        <f>IF(Tablo13489131415161718192021[[#This Row],[SATIŞ]]&gt;0,(Tablo13489131415161718192021[[#This Row],[ADET]]*Tablo13489131415161718192021[[#This Row],[SATIŞ]]-1.5),0)</f>
        <v>0</v>
      </c>
    </row>
    <row r="24" spans="2:8" ht="21" customHeight="1" x14ac:dyDescent="0.3">
      <c r="B24" s="13"/>
      <c r="D24" s="16"/>
      <c r="E24" s="3"/>
      <c r="F24" s="14" t="str">
        <f>IF(Tablo13489131415161718192021[[#This Row],[SATIŞ]]=0,"Açık",(E24-D24)*C24-3)</f>
        <v>Açık</v>
      </c>
      <c r="G24" s="15">
        <f>IF(Tablo13489131415161718192021[[#This Row],[ALIŞ]]&gt;0,Tablo13489131415161718192021[[#This Row],[ADET]]*Tablo13489131415161718192021[[#This Row],[ALIŞ]]+1.5,0)</f>
        <v>0</v>
      </c>
      <c r="H24" s="15">
        <f>IF(Tablo13489131415161718192021[[#This Row],[SATIŞ]]&gt;0,(Tablo13489131415161718192021[[#This Row],[ADET]]*Tablo13489131415161718192021[[#This Row],[SATIŞ]]-1.5),0)</f>
        <v>0</v>
      </c>
    </row>
    <row r="25" spans="2:8" ht="21" customHeight="1" x14ac:dyDescent="0.3">
      <c r="B25" s="13"/>
      <c r="D25" s="16"/>
      <c r="E25" s="3"/>
      <c r="F25" s="14" t="str">
        <f>IF(Tablo13489131415161718192021[[#This Row],[SATIŞ]]=0,"Açık",(E25-D25)*C25-3)</f>
        <v>Açık</v>
      </c>
      <c r="G25" s="15">
        <f>IF(Tablo13489131415161718192021[[#This Row],[ALIŞ]]&gt;0,Tablo13489131415161718192021[[#This Row],[ADET]]*Tablo13489131415161718192021[[#This Row],[ALIŞ]]+1.5,0)</f>
        <v>0</v>
      </c>
      <c r="H25" s="15">
        <f>IF(Tablo13489131415161718192021[[#This Row],[SATIŞ]]&gt;0,(Tablo13489131415161718192021[[#This Row],[ADET]]*Tablo13489131415161718192021[[#This Row],[SATIŞ]]-1.5),0)</f>
        <v>0</v>
      </c>
    </row>
    <row r="26" spans="2:8" ht="21" customHeight="1" x14ac:dyDescent="0.3">
      <c r="B26" s="13"/>
      <c r="D26" s="16"/>
      <c r="E26" s="3"/>
      <c r="F26" s="14" t="str">
        <f>IF(Tablo13489131415161718192021[[#This Row],[SATIŞ]]=0,"Açık",(E26-D26)*C26-3)</f>
        <v>Açık</v>
      </c>
      <c r="G26" s="15">
        <f>IF(Tablo13489131415161718192021[[#This Row],[ALIŞ]]&gt;0,Tablo13489131415161718192021[[#This Row],[ADET]]*Tablo13489131415161718192021[[#This Row],[ALIŞ]]+1.5,0)</f>
        <v>0</v>
      </c>
      <c r="H26" s="15">
        <f>IF(Tablo13489131415161718192021[[#This Row],[SATIŞ]]&gt;0,(Tablo13489131415161718192021[[#This Row],[ADET]]*Tablo13489131415161718192021[[#This Row],[SATIŞ]]-1.5),0)</f>
        <v>0</v>
      </c>
    </row>
    <row r="27" spans="2:8" ht="21" customHeight="1" x14ac:dyDescent="0.3">
      <c r="B27" s="13"/>
      <c r="D27" s="16"/>
      <c r="E27" s="3"/>
      <c r="F27" s="14" t="str">
        <f>IF(Tablo13489131415161718192021[[#This Row],[SATIŞ]]=0,"Açık",(E27-D27)*C27-3)</f>
        <v>Açık</v>
      </c>
      <c r="G27" s="15">
        <f>IF(Tablo13489131415161718192021[[#This Row],[ALIŞ]]&gt;0,Tablo13489131415161718192021[[#This Row],[ADET]]*Tablo13489131415161718192021[[#This Row],[ALIŞ]]+1.5,0)</f>
        <v>0</v>
      </c>
      <c r="H27" s="15">
        <f>IF(Tablo13489131415161718192021[[#This Row],[SATIŞ]]&gt;0,(Tablo13489131415161718192021[[#This Row],[ADET]]*Tablo13489131415161718192021[[#This Row],[SATIŞ]]-1.5),0)</f>
        <v>0</v>
      </c>
    </row>
  </sheetData>
  <conditionalFormatting sqref="B4:E4 B5:F27">
    <cfRule type="expression" dxfId="95" priority="4">
      <formula>$F4&lt;0</formula>
    </cfRule>
    <cfRule type="expression" dxfId="94" priority="5">
      <formula>$F4="Açık"</formula>
    </cfRule>
    <cfRule type="expression" dxfId="93" priority="6">
      <formula>$F4&gt;0</formula>
    </cfRule>
  </conditionalFormatting>
  <conditionalFormatting sqref="F4">
    <cfRule type="expression" dxfId="92" priority="1">
      <formula>$F4&lt;0</formula>
    </cfRule>
    <cfRule type="expression" dxfId="91" priority="2">
      <formula>$F4="Açık"</formula>
    </cfRule>
    <cfRule type="expression" dxfId="90" priority="3">
      <formula>$F4&gt;0</formula>
    </cfRule>
  </conditionalFormatting>
  <hyperlinks>
    <hyperlink ref="B1" location="İcmal!A1" display="ANA SAYFA" xr:uid="{EAD46BA0-A2AC-47B8-BA17-E4FCADCCCEEA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5FF6-48FB-4886-A17D-EE8033BA0384}">
  <dimension ref="B1:R27"/>
  <sheetViews>
    <sheetView workbookViewId="0">
      <selection activeCell="D11" sqref="D11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SUMIF(Tablo134891314[KAR],"Açık",Tablo134891314[ADET])</f>
        <v>0</v>
      </c>
      <c r="D1" s="3"/>
      <c r="E1" s="16">
        <f>C1*D1</f>
        <v>0</v>
      </c>
      <c r="F1" s="3" t="str">
        <f>IFERROR(((SUM(Tablo134891314[ALIŞ TUTAR])-SUM(Tablo134891314[SATIŞ TUTAR]))/C1),"")</f>
        <v/>
      </c>
      <c r="G1" s="3">
        <f>IF(M3=0,L3,C1*(D1-F1))</f>
        <v>20.550000000000004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16">
        <f>SUM(Tablo134891314[KAR])</f>
        <v>20.550000000000004</v>
      </c>
      <c r="M3" s="12">
        <f>C1</f>
        <v>0</v>
      </c>
    </row>
    <row r="4" spans="2:18" ht="21" customHeight="1" x14ac:dyDescent="0.3">
      <c r="B4" s="13">
        <v>44864</v>
      </c>
      <c r="C4" s="8">
        <v>5</v>
      </c>
      <c r="D4" s="16">
        <v>8.19</v>
      </c>
      <c r="E4" s="16">
        <v>12.9</v>
      </c>
      <c r="F4" s="14">
        <f>IF(Tablo134891314[[#This Row],[SATIŞ]]=0,"Açık",(E4-D4)*C4-3)</f>
        <v>20.550000000000004</v>
      </c>
      <c r="G4" s="15">
        <f>IF(Tablo134891314[[#This Row],[ALIŞ]]&gt;0,Tablo134891314[[#This Row],[ADET]]*Tablo134891314[[#This Row],[ALIŞ]]+1.5,0)</f>
        <v>42.449999999999996</v>
      </c>
      <c r="H4" s="15">
        <f>IF(Tablo134891314[[#This Row],[SATIŞ]]&gt;0,(Tablo134891314[[#This Row],[ADET]]*Tablo134891314[[#This Row],[SATIŞ]]-1.5),0)</f>
        <v>63</v>
      </c>
      <c r="L4" s="5"/>
      <c r="M4" s="5"/>
      <c r="N4" s="5"/>
    </row>
    <row r="5" spans="2:18" ht="21" customHeight="1" x14ac:dyDescent="0.3">
      <c r="B5" s="13"/>
      <c r="D5" s="16"/>
      <c r="E5" s="16"/>
      <c r="F5" s="14" t="str">
        <f>IF(Tablo134891314[[#This Row],[SATIŞ]]=0,"Açık",(E5-D5)*C5-3)</f>
        <v>Açık</v>
      </c>
      <c r="G5" s="15">
        <f>IF(Tablo134891314[[#This Row],[ALIŞ]]&gt;0,Tablo134891314[[#This Row],[ADET]]*Tablo134891314[[#This Row],[ALIŞ]]+1.5,0)</f>
        <v>0</v>
      </c>
      <c r="H5" s="15">
        <f>IF(Tablo134891314[[#This Row],[SATIŞ]]&gt;0,(Tablo134891314[[#This Row],[ADET]]*Tablo134891314[[#This Row],[SATIŞ]]-1.5),0)</f>
        <v>0</v>
      </c>
    </row>
    <row r="6" spans="2:18" ht="21" customHeight="1" x14ac:dyDescent="0.3">
      <c r="B6" s="13"/>
      <c r="D6" s="16"/>
      <c r="E6" s="16"/>
      <c r="F6" s="14" t="str">
        <f>IF(Tablo134891314[[#This Row],[SATIŞ]]=0,"Açık",(E6-D6)*C6-3)</f>
        <v>Açık</v>
      </c>
      <c r="G6" s="15">
        <f>IF(Tablo134891314[[#This Row],[ALIŞ]]&gt;0,Tablo134891314[[#This Row],[ADET]]*Tablo134891314[[#This Row],[ALIŞ]]+1.5,0)</f>
        <v>0</v>
      </c>
      <c r="H6" s="15">
        <f>IF(Tablo134891314[[#This Row],[SATIŞ]]&gt;0,(Tablo134891314[[#This Row],[ADET]]*Tablo134891314[[#This Row],[SATIŞ]]-1.5),0)</f>
        <v>0</v>
      </c>
    </row>
    <row r="7" spans="2:18" ht="21" customHeight="1" x14ac:dyDescent="0.3">
      <c r="B7" s="13"/>
      <c r="D7" s="16"/>
      <c r="E7" s="16"/>
      <c r="F7" s="14" t="str">
        <f>IF(Tablo134891314[[#This Row],[SATIŞ]]=0,"Açık",(E7-D7)*C7-3)</f>
        <v>Açık</v>
      </c>
      <c r="G7" s="15">
        <f>IF(Tablo134891314[[#This Row],[ALIŞ]]&gt;0,Tablo134891314[[#This Row],[ADET]]*Tablo134891314[[#This Row],[ALIŞ]]+1.5,0)</f>
        <v>0</v>
      </c>
      <c r="H7" s="15">
        <f>IF(Tablo134891314[[#This Row],[SATIŞ]]&gt;0,(Tablo134891314[[#This Row],[ADET]]*Tablo134891314[[#This Row],[SATIŞ]]-1.5),0)</f>
        <v>0</v>
      </c>
    </row>
    <row r="8" spans="2:18" ht="21" customHeight="1" x14ac:dyDescent="0.3">
      <c r="B8" s="13"/>
      <c r="D8" s="16"/>
      <c r="E8" s="16"/>
      <c r="F8" s="14" t="str">
        <f>IF(Tablo134891314[[#This Row],[SATIŞ]]=0,"Açık",(E8-D8)*C8-3)</f>
        <v>Açık</v>
      </c>
      <c r="G8" s="15">
        <f>IF(Tablo134891314[[#This Row],[ALIŞ]]&gt;0,Tablo134891314[[#This Row],[ADET]]*Tablo134891314[[#This Row],[ALIŞ]]+1.5,0)</f>
        <v>0</v>
      </c>
      <c r="H8" s="15">
        <f>IF(Tablo134891314[[#This Row],[SATIŞ]]&gt;0,(Tablo134891314[[#This Row],[ADET]]*Tablo134891314[[#This Row],[SATIŞ]]-1.5),0)</f>
        <v>0</v>
      </c>
    </row>
    <row r="9" spans="2:18" ht="21" customHeight="1" x14ac:dyDescent="0.3">
      <c r="B9" s="13"/>
      <c r="D9" s="16"/>
      <c r="E9" s="16"/>
      <c r="F9" s="14" t="str">
        <f>IF(Tablo134891314[[#This Row],[SATIŞ]]=0,"Açık",(E9-D9)*C9-3)</f>
        <v>Açık</v>
      </c>
      <c r="G9" s="15">
        <f>IF(Tablo134891314[[#This Row],[ALIŞ]]&gt;0,Tablo134891314[[#This Row],[ADET]]*Tablo134891314[[#This Row],[ALIŞ]]+1.5,0)</f>
        <v>0</v>
      </c>
      <c r="H9" s="15">
        <f>IF(Tablo134891314[[#This Row],[SATIŞ]]&gt;0,(Tablo134891314[[#This Row],[ADET]]*Tablo134891314[[#This Row],[SATIŞ]]-1.5),0)</f>
        <v>0</v>
      </c>
    </row>
    <row r="10" spans="2:18" ht="21" customHeight="1" x14ac:dyDescent="0.3">
      <c r="B10" s="13"/>
      <c r="D10" s="16"/>
      <c r="E10" s="16"/>
      <c r="F10" s="14" t="str">
        <f>IF(Tablo134891314[[#This Row],[SATIŞ]]=0,"Açık",(E10-D10)*C10-3)</f>
        <v>Açık</v>
      </c>
      <c r="G10" s="15">
        <f>IF(Tablo134891314[[#This Row],[ALIŞ]]&gt;0,Tablo134891314[[#This Row],[ADET]]*Tablo134891314[[#This Row],[ALIŞ]]+1.5,0)</f>
        <v>0</v>
      </c>
      <c r="H10" s="15">
        <f>IF(Tablo134891314[[#This Row],[SATIŞ]]&gt;0,(Tablo134891314[[#This Row],[ADET]]*Tablo134891314[[#This Row],[SATIŞ]]-1.5),0)</f>
        <v>0</v>
      </c>
    </row>
    <row r="11" spans="2:18" ht="21" customHeight="1" x14ac:dyDescent="0.3">
      <c r="B11" s="13"/>
      <c r="D11" s="16"/>
      <c r="E11" s="16"/>
      <c r="F11" s="14" t="str">
        <f>IF(Tablo134891314[[#This Row],[SATIŞ]]=0,"Açık",(E11-D11)*C11-3)</f>
        <v>Açık</v>
      </c>
      <c r="G11" s="15">
        <f>IF(Tablo134891314[[#This Row],[ALIŞ]]&gt;0,Tablo134891314[[#This Row],[ADET]]*Tablo134891314[[#This Row],[ALIŞ]]+1.5,0)</f>
        <v>0</v>
      </c>
      <c r="H11" s="15">
        <f>IF(Tablo134891314[[#This Row],[SATIŞ]]&gt;0,(Tablo134891314[[#This Row],[ADET]]*Tablo134891314[[#This Row],[SATIŞ]]-1.5),0)</f>
        <v>0</v>
      </c>
      <c r="J11">
        <f>+Tablo134891314[[#This Row],[ALIŞ]]*1.02</f>
        <v>0</v>
      </c>
    </row>
    <row r="12" spans="2:18" ht="21" customHeight="1" x14ac:dyDescent="0.3">
      <c r="B12" s="13"/>
      <c r="D12" s="16"/>
      <c r="E12" s="16"/>
      <c r="F12" s="14" t="str">
        <f>IF(Tablo134891314[[#This Row],[SATIŞ]]=0,"Açık",(E12-D12)*C12-3)</f>
        <v>Açık</v>
      </c>
      <c r="G12" s="15">
        <f>IF(Tablo134891314[[#This Row],[ALIŞ]]&gt;0,Tablo134891314[[#This Row],[ADET]]*Tablo134891314[[#This Row],[ALIŞ]]+1.5,0)</f>
        <v>0</v>
      </c>
      <c r="H12" s="15">
        <f>IF(Tablo134891314[[#This Row],[SATIŞ]]&gt;0,(Tablo134891314[[#This Row],[ADET]]*Tablo134891314[[#This Row],[SATIŞ]]-1.5),0)</f>
        <v>0</v>
      </c>
    </row>
    <row r="13" spans="2:18" ht="21" customHeight="1" x14ac:dyDescent="0.3">
      <c r="B13" s="13"/>
      <c r="D13" s="16"/>
      <c r="E13" s="16"/>
      <c r="F13" s="14" t="str">
        <f>IF(Tablo134891314[[#This Row],[SATIŞ]]=0,"Açık",(E13-D13)*C13-3)</f>
        <v>Açık</v>
      </c>
      <c r="G13" s="15">
        <f>IF(Tablo134891314[[#This Row],[ALIŞ]]&gt;0,Tablo134891314[[#This Row],[ADET]]*Tablo134891314[[#This Row],[ALIŞ]]+1.5,0)</f>
        <v>0</v>
      </c>
      <c r="H13" s="15">
        <f>IF(Tablo134891314[[#This Row],[SATIŞ]]&gt;0,(Tablo134891314[[#This Row],[ADET]]*Tablo134891314[[#This Row],[SATIŞ]]-1.5),0)</f>
        <v>0</v>
      </c>
    </row>
    <row r="14" spans="2:18" ht="21" customHeight="1" x14ac:dyDescent="0.3">
      <c r="B14" s="13"/>
      <c r="D14" s="16"/>
      <c r="E14" s="16"/>
      <c r="F14" s="14" t="str">
        <f>IF(Tablo134891314[[#This Row],[SATIŞ]]=0,"Açık",(E14-D14)*C14-3)</f>
        <v>Açık</v>
      </c>
      <c r="G14" s="15">
        <f>IF(Tablo134891314[[#This Row],[ALIŞ]]&gt;0,Tablo134891314[[#This Row],[ADET]]*Tablo134891314[[#This Row],[ALIŞ]]+1.5,0)</f>
        <v>0</v>
      </c>
      <c r="H14" s="15">
        <f>IF(Tablo134891314[[#This Row],[SATIŞ]]&gt;0,(Tablo134891314[[#This Row],[ADET]]*Tablo134891314[[#This Row],[SATIŞ]]-1.5),0)</f>
        <v>0</v>
      </c>
    </row>
    <row r="15" spans="2:18" ht="21" customHeight="1" x14ac:dyDescent="0.3">
      <c r="B15" s="13"/>
      <c r="D15" s="16"/>
      <c r="E15" s="16"/>
      <c r="F15" s="14" t="str">
        <f>IF(Tablo134891314[[#This Row],[SATIŞ]]=0,"Açık",(E15-D15)*C15-3)</f>
        <v>Açık</v>
      </c>
      <c r="G15" s="15">
        <f>IF(Tablo134891314[[#This Row],[ALIŞ]]&gt;0,Tablo134891314[[#This Row],[ADET]]*Tablo134891314[[#This Row],[ALIŞ]]+1.5,0)</f>
        <v>0</v>
      </c>
      <c r="H15" s="15">
        <f>IF(Tablo134891314[[#This Row],[SATIŞ]]&gt;0,(Tablo134891314[[#This Row],[ADET]]*Tablo134891314[[#This Row],[SATIŞ]]-1.5),0)</f>
        <v>0</v>
      </c>
    </row>
    <row r="16" spans="2:18" ht="21" customHeight="1" x14ac:dyDescent="0.3">
      <c r="B16" s="13"/>
      <c r="D16" s="16"/>
      <c r="E16" s="16"/>
      <c r="F16" s="14" t="str">
        <f>IF(Tablo134891314[[#This Row],[SATIŞ]]=0,"Açık",(E16-D16)*C16-3)</f>
        <v>Açık</v>
      </c>
      <c r="G16" s="15">
        <f>IF(Tablo134891314[[#This Row],[ALIŞ]]&gt;0,Tablo134891314[[#This Row],[ADET]]*Tablo134891314[[#This Row],[ALIŞ]]+1.5,0)</f>
        <v>0</v>
      </c>
      <c r="H16" s="15">
        <f>IF(Tablo134891314[[#This Row],[SATIŞ]]&gt;0,(Tablo134891314[[#This Row],[ADET]]*Tablo134891314[[#This Row],[SATIŞ]]-1.5),0)</f>
        <v>0</v>
      </c>
    </row>
    <row r="17" spans="2:8" ht="21" customHeight="1" x14ac:dyDescent="0.3">
      <c r="B17" s="13"/>
      <c r="D17" s="16"/>
      <c r="E17" s="16"/>
      <c r="F17" s="14" t="str">
        <f>IF(Tablo134891314[[#This Row],[SATIŞ]]=0,"Açık",(E17-D17)*C17-3)</f>
        <v>Açık</v>
      </c>
      <c r="G17" s="15">
        <f>IF(Tablo134891314[[#This Row],[ALIŞ]]&gt;0,Tablo134891314[[#This Row],[ADET]]*Tablo134891314[[#This Row],[ALIŞ]]+1.5,0)</f>
        <v>0</v>
      </c>
      <c r="H17" s="15">
        <f>IF(Tablo134891314[[#This Row],[SATIŞ]]&gt;0,(Tablo134891314[[#This Row],[ADET]]*Tablo134891314[[#This Row],[SATIŞ]]-1.5),0)</f>
        <v>0</v>
      </c>
    </row>
    <row r="18" spans="2:8" ht="21" customHeight="1" x14ac:dyDescent="0.3">
      <c r="B18" s="13"/>
      <c r="D18" s="16"/>
      <c r="E18" s="16"/>
      <c r="F18" s="14" t="str">
        <f>IF(Tablo134891314[[#This Row],[SATIŞ]]=0,"Açık",(E18-D18)*C18-3)</f>
        <v>Açık</v>
      </c>
      <c r="G18" s="15">
        <f>IF(Tablo134891314[[#This Row],[ALIŞ]]&gt;0,Tablo134891314[[#This Row],[ADET]]*Tablo134891314[[#This Row],[ALIŞ]]+1.5,0)</f>
        <v>0</v>
      </c>
      <c r="H18" s="15">
        <f>IF(Tablo134891314[[#This Row],[SATIŞ]]&gt;0,(Tablo134891314[[#This Row],[ADET]]*Tablo134891314[[#This Row],[SATIŞ]]-1.5),0)</f>
        <v>0</v>
      </c>
    </row>
    <row r="19" spans="2:8" ht="21" customHeight="1" x14ac:dyDescent="0.3">
      <c r="B19" s="13"/>
      <c r="D19" s="16"/>
      <c r="E19" s="16"/>
      <c r="F19" s="14" t="str">
        <f>IF(Tablo134891314[[#This Row],[SATIŞ]]=0,"Açık",(E19-D19)*C19-3)</f>
        <v>Açık</v>
      </c>
      <c r="G19" s="15">
        <f>IF(Tablo134891314[[#This Row],[ALIŞ]]&gt;0,Tablo134891314[[#This Row],[ADET]]*Tablo134891314[[#This Row],[ALIŞ]]+1.5,0)</f>
        <v>0</v>
      </c>
      <c r="H19" s="15">
        <f>IF(Tablo134891314[[#This Row],[SATIŞ]]&gt;0,(Tablo134891314[[#This Row],[ADET]]*Tablo134891314[[#This Row],[SATIŞ]]-1.5),0)</f>
        <v>0</v>
      </c>
    </row>
    <row r="20" spans="2:8" ht="21" customHeight="1" x14ac:dyDescent="0.3">
      <c r="B20" s="13"/>
      <c r="D20" s="16"/>
      <c r="E20" s="16"/>
      <c r="F20" s="14" t="str">
        <f>IF(Tablo134891314[[#This Row],[SATIŞ]]=0,"Açık",(E20-D20)*C20-3)</f>
        <v>Açık</v>
      </c>
      <c r="G20" s="15">
        <f>IF(Tablo134891314[[#This Row],[ALIŞ]]&gt;0,Tablo134891314[[#This Row],[ADET]]*Tablo134891314[[#This Row],[ALIŞ]]+1.5,0)</f>
        <v>0</v>
      </c>
      <c r="H20" s="15">
        <f>IF(Tablo134891314[[#This Row],[SATIŞ]]&gt;0,(Tablo134891314[[#This Row],[ADET]]*Tablo134891314[[#This Row],[SATIŞ]]-1.5),0)</f>
        <v>0</v>
      </c>
    </row>
    <row r="21" spans="2:8" ht="21" customHeight="1" x14ac:dyDescent="0.3">
      <c r="B21" s="13"/>
      <c r="D21" s="16"/>
      <c r="E21" s="16"/>
      <c r="F21" s="14" t="str">
        <f>IF(Tablo134891314[[#This Row],[SATIŞ]]=0,"Açık",(E21-D21)*C21-3)</f>
        <v>Açık</v>
      </c>
      <c r="G21" s="15">
        <f>IF(Tablo134891314[[#This Row],[ALIŞ]]&gt;0,Tablo134891314[[#This Row],[ADET]]*Tablo134891314[[#This Row],[ALIŞ]]+1.5,0)</f>
        <v>0</v>
      </c>
      <c r="H21" s="15">
        <f>IF(Tablo134891314[[#This Row],[SATIŞ]]&gt;0,(Tablo134891314[[#This Row],[ADET]]*Tablo134891314[[#This Row],[SATIŞ]]-1.5),0)</f>
        <v>0</v>
      </c>
    </row>
    <row r="22" spans="2:8" ht="21" customHeight="1" x14ac:dyDescent="0.3">
      <c r="B22" s="13"/>
      <c r="D22" s="16"/>
      <c r="E22" s="16"/>
      <c r="F22" s="14" t="str">
        <f>IF(Tablo134891314[[#This Row],[SATIŞ]]=0,"Açık",(E22-D22)*C22-3)</f>
        <v>Açık</v>
      </c>
      <c r="G22" s="15">
        <f>IF(Tablo134891314[[#This Row],[ALIŞ]]&gt;0,Tablo134891314[[#This Row],[ADET]]*Tablo134891314[[#This Row],[ALIŞ]]+1.5,0)</f>
        <v>0</v>
      </c>
      <c r="H22" s="15">
        <f>IF(Tablo134891314[[#This Row],[SATIŞ]]&gt;0,(Tablo134891314[[#This Row],[ADET]]*Tablo134891314[[#This Row],[SATIŞ]]-1.5),0)</f>
        <v>0</v>
      </c>
    </row>
    <row r="23" spans="2:8" ht="21" customHeight="1" x14ac:dyDescent="0.3">
      <c r="B23" s="13"/>
      <c r="D23" s="16"/>
      <c r="E23" s="16"/>
      <c r="F23" s="14" t="str">
        <f>IF(Tablo134891314[[#This Row],[SATIŞ]]=0,"Açık",(E23-D23)*C23-3)</f>
        <v>Açık</v>
      </c>
      <c r="G23" s="15">
        <f>IF(Tablo134891314[[#This Row],[ALIŞ]]&gt;0,Tablo134891314[[#This Row],[ADET]]*Tablo134891314[[#This Row],[ALIŞ]]+1.5,0)</f>
        <v>0</v>
      </c>
      <c r="H23" s="15">
        <f>IF(Tablo134891314[[#This Row],[SATIŞ]]&gt;0,(Tablo134891314[[#This Row],[ADET]]*Tablo134891314[[#This Row],[SATIŞ]]-1.5),0)</f>
        <v>0</v>
      </c>
    </row>
    <row r="24" spans="2:8" ht="21" customHeight="1" x14ac:dyDescent="0.3">
      <c r="B24" s="13"/>
      <c r="D24" s="16"/>
      <c r="E24" s="16"/>
      <c r="F24" s="14" t="str">
        <f>IF(Tablo134891314[[#This Row],[SATIŞ]]=0,"Açık",(E24-D24)*C24-3)</f>
        <v>Açık</v>
      </c>
      <c r="G24" s="15">
        <f>IF(Tablo134891314[[#This Row],[ALIŞ]]&gt;0,Tablo134891314[[#This Row],[ADET]]*Tablo134891314[[#This Row],[ALIŞ]]+1.5,0)</f>
        <v>0</v>
      </c>
      <c r="H24" s="15">
        <f>IF(Tablo134891314[[#This Row],[SATIŞ]]&gt;0,(Tablo134891314[[#This Row],[ADET]]*Tablo134891314[[#This Row],[SATIŞ]]-1.5),0)</f>
        <v>0</v>
      </c>
    </row>
    <row r="25" spans="2:8" ht="21" customHeight="1" x14ac:dyDescent="0.3">
      <c r="B25" s="13"/>
      <c r="D25" s="16"/>
      <c r="E25" s="16"/>
      <c r="F25" s="14" t="str">
        <f>IF(Tablo134891314[[#This Row],[SATIŞ]]=0,"Açık",(E25-D25)*C25-3)</f>
        <v>Açık</v>
      </c>
      <c r="G25" s="15">
        <f>IF(Tablo134891314[[#This Row],[ALIŞ]]&gt;0,Tablo134891314[[#This Row],[ADET]]*Tablo134891314[[#This Row],[ALIŞ]]+1.5,0)</f>
        <v>0</v>
      </c>
      <c r="H25" s="15">
        <f>IF(Tablo134891314[[#This Row],[SATIŞ]]&gt;0,(Tablo134891314[[#This Row],[ADET]]*Tablo134891314[[#This Row],[SATIŞ]]-1.5),0)</f>
        <v>0</v>
      </c>
    </row>
    <row r="26" spans="2:8" ht="21" customHeight="1" x14ac:dyDescent="0.3">
      <c r="B26" s="13"/>
      <c r="D26" s="16"/>
      <c r="E26" s="16"/>
      <c r="F26" s="14" t="str">
        <f>IF(Tablo134891314[[#This Row],[SATIŞ]]=0,"Açık",(E26-D26)*C26-3)</f>
        <v>Açık</v>
      </c>
      <c r="G26" s="15">
        <f>IF(Tablo134891314[[#This Row],[ALIŞ]]&gt;0,Tablo134891314[[#This Row],[ADET]]*Tablo134891314[[#This Row],[ALIŞ]]+1.5,0)</f>
        <v>0</v>
      </c>
      <c r="H26" s="15">
        <f>IF(Tablo134891314[[#This Row],[SATIŞ]]&gt;0,(Tablo134891314[[#This Row],[ADET]]*Tablo134891314[[#This Row],[SATIŞ]]-1.5),0)</f>
        <v>0</v>
      </c>
    </row>
    <row r="27" spans="2:8" ht="21" customHeight="1" x14ac:dyDescent="0.3">
      <c r="B27" s="13"/>
      <c r="D27" s="16"/>
      <c r="E27" s="16"/>
      <c r="F27" s="14" t="str">
        <f>IF(Tablo134891314[[#This Row],[SATIŞ]]=0,"Açık",(E27-D27)*C27-3)</f>
        <v>Açık</v>
      </c>
      <c r="G27" s="15">
        <f>IF(Tablo134891314[[#This Row],[ALIŞ]]&gt;0,Tablo134891314[[#This Row],[ADET]]*Tablo134891314[[#This Row],[ALIŞ]]+1.5,0)</f>
        <v>0</v>
      </c>
      <c r="H27" s="15">
        <f>IF(Tablo134891314[[#This Row],[SATIŞ]]&gt;0,(Tablo134891314[[#This Row],[ADET]]*Tablo134891314[[#This Row],[SATIŞ]]-1.5),0)</f>
        <v>0</v>
      </c>
    </row>
  </sheetData>
  <conditionalFormatting sqref="B4:E27">
    <cfRule type="expression" dxfId="89" priority="4">
      <formula>$F4&lt;0</formula>
    </cfRule>
    <cfRule type="expression" dxfId="88" priority="5">
      <formula>$F4="Açık"</formula>
    </cfRule>
    <cfRule type="expression" dxfId="87" priority="6">
      <formula>$F4&gt;0</formula>
    </cfRule>
  </conditionalFormatting>
  <conditionalFormatting sqref="F4:F27">
    <cfRule type="expression" dxfId="86" priority="1">
      <formula>$F4&lt;0</formula>
    </cfRule>
    <cfRule type="expression" dxfId="85" priority="2">
      <formula>$F4="Açık"</formula>
    </cfRule>
    <cfRule type="expression" dxfId="84" priority="3">
      <formula>$F4&gt;0</formula>
    </cfRule>
  </conditionalFormatting>
  <hyperlinks>
    <hyperlink ref="B1" location="İcmal!A1" display="ANA SAYFA" xr:uid="{3D79F550-DF52-436D-BBA0-1891D90C9CFC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FD13-247F-49E9-BF1D-B00B265313F4}">
  <dimension ref="B1:R27"/>
  <sheetViews>
    <sheetView workbookViewId="0">
      <selection activeCell="D6" sqref="D6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SUMIF(Tablo13489131415[KAR],"Açık",Tablo13489131415[ADET])</f>
        <v>55</v>
      </c>
      <c r="D1" s="3">
        <f>+İcmal!E26</f>
        <v>5.48</v>
      </c>
      <c r="E1" s="3">
        <f>C1*D1</f>
        <v>301.40000000000003</v>
      </c>
      <c r="F1" s="3">
        <f>IFERROR(((SUM(Tablo13489131415[ALIŞ TUTAR])-SUM(Tablo13489131415[SATIŞ TUTAR]))/C1),"")</f>
        <v>6.2981818181818179</v>
      </c>
      <c r="G1" s="3">
        <f>IF(M3=0,L3,C1*(D1-F1))</f>
        <v>-44.999999999999957</v>
      </c>
      <c r="J1" s="4">
        <v>0.02</v>
      </c>
      <c r="L1" s="5">
        <f>M1*(1-$J$1)</f>
        <v>6.1722181818181818</v>
      </c>
      <c r="M1" s="6">
        <f>F1</f>
        <v>6.2981818181818179</v>
      </c>
      <c r="N1" s="5">
        <f>M1*(1+$J$1)</f>
        <v>6.4241454545454539</v>
      </c>
      <c r="P1" s="5">
        <f>Q1*(1-$J$1)</f>
        <v>5.3704000000000001</v>
      </c>
      <c r="Q1" s="6">
        <f>+D1</f>
        <v>5.48</v>
      </c>
      <c r="R1" s="5">
        <f>Q1*(1+$J$1)</f>
        <v>5.5896000000000008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SUM(Tablo13489131415[KAR])</f>
        <v>0</v>
      </c>
      <c r="M3" s="12">
        <f>C1</f>
        <v>55</v>
      </c>
    </row>
    <row r="4" spans="2:18" ht="21" customHeight="1" x14ac:dyDescent="0.3">
      <c r="B4" s="13">
        <v>44864</v>
      </c>
      <c r="C4" s="8">
        <v>5</v>
      </c>
      <c r="D4" s="16">
        <v>12.68</v>
      </c>
      <c r="E4" s="3"/>
      <c r="F4" s="14" t="str">
        <f>IF(Tablo13489131415[[#This Row],[SATIŞ]]=0,"Açık",(E4-D4)*C4-3)</f>
        <v>Açık</v>
      </c>
      <c r="G4" s="15">
        <f>IF(Tablo13489131415[[#This Row],[ALIŞ]]&gt;0,Tablo13489131415[[#This Row],[ADET]]*Tablo13489131415[[#This Row],[ALIŞ]]+1.5,0)</f>
        <v>64.900000000000006</v>
      </c>
      <c r="H4" s="15">
        <f>IF(Tablo13489131415[[#This Row],[SATIŞ]]&gt;0,(Tablo13489131415[[#This Row],[ADET]]*Tablo13489131415[[#This Row],[SATIŞ]]-1.5),0)</f>
        <v>0</v>
      </c>
      <c r="L4" s="5"/>
      <c r="M4" s="5"/>
      <c r="N4" s="5"/>
    </row>
    <row r="5" spans="2:18" ht="21" customHeight="1" x14ac:dyDescent="0.3">
      <c r="B5" s="13">
        <v>45358</v>
      </c>
      <c r="C5" s="8">
        <v>50</v>
      </c>
      <c r="D5" s="16">
        <v>5.6</v>
      </c>
      <c r="E5" s="3"/>
      <c r="F5" s="14" t="str">
        <f>IF(Tablo13489131415[[#This Row],[SATIŞ]]=0,"Açık",(E5-D5)*C5-3)</f>
        <v>Açık</v>
      </c>
      <c r="G5" s="15">
        <f>IF(Tablo13489131415[[#This Row],[ALIŞ]]&gt;0,Tablo13489131415[[#This Row],[ADET]]*Tablo13489131415[[#This Row],[ALIŞ]]+1.5,0)</f>
        <v>281.5</v>
      </c>
      <c r="H5" s="15">
        <f>IF(Tablo13489131415[[#This Row],[SATIŞ]]&gt;0,(Tablo13489131415[[#This Row],[ADET]]*Tablo13489131415[[#This Row],[SATIŞ]]-1.5),0)</f>
        <v>0</v>
      </c>
    </row>
    <row r="6" spans="2:18" ht="21" customHeight="1" x14ac:dyDescent="0.3">
      <c r="B6" s="13"/>
      <c r="D6" s="16"/>
      <c r="E6" s="3"/>
      <c r="F6" s="14" t="str">
        <f>IF(Tablo13489131415[[#This Row],[SATIŞ]]=0,"Açık",(E6-D6)*C6-3)</f>
        <v>Açık</v>
      </c>
      <c r="G6" s="15">
        <f>IF(Tablo13489131415[[#This Row],[ALIŞ]]&gt;0,Tablo13489131415[[#This Row],[ADET]]*Tablo13489131415[[#This Row],[ALIŞ]]+1.5,0)</f>
        <v>0</v>
      </c>
      <c r="H6" s="15">
        <f>IF(Tablo13489131415[[#This Row],[SATIŞ]]&gt;0,(Tablo13489131415[[#This Row],[ADET]]*Tablo13489131415[[#This Row],[SATIŞ]]-1.5),0)</f>
        <v>0</v>
      </c>
    </row>
    <row r="7" spans="2:18" ht="21" customHeight="1" x14ac:dyDescent="0.3">
      <c r="B7" s="13"/>
      <c r="D7" s="16"/>
      <c r="E7" s="3"/>
      <c r="F7" s="14" t="str">
        <f>IF(Tablo13489131415[[#This Row],[SATIŞ]]=0,"Açık",(E7-D7)*C7-3)</f>
        <v>Açık</v>
      </c>
      <c r="G7" s="15">
        <f>IF(Tablo13489131415[[#This Row],[ALIŞ]]&gt;0,Tablo13489131415[[#This Row],[ADET]]*Tablo13489131415[[#This Row],[ALIŞ]]+1.5,0)</f>
        <v>0</v>
      </c>
      <c r="H7" s="15">
        <f>IF(Tablo13489131415[[#This Row],[SATIŞ]]&gt;0,(Tablo13489131415[[#This Row],[ADET]]*Tablo13489131415[[#This Row],[SATIŞ]]-1.5),0)</f>
        <v>0</v>
      </c>
    </row>
    <row r="8" spans="2:18" ht="21" customHeight="1" x14ac:dyDescent="0.3">
      <c r="B8" s="13"/>
      <c r="D8" s="16"/>
      <c r="E8" s="3"/>
      <c r="F8" s="14" t="str">
        <f>IF(Tablo13489131415[[#This Row],[SATIŞ]]=0,"Açık",(E8-D8)*C8-3)</f>
        <v>Açık</v>
      </c>
      <c r="G8" s="15">
        <f>IF(Tablo13489131415[[#This Row],[ALIŞ]]&gt;0,Tablo13489131415[[#This Row],[ADET]]*Tablo13489131415[[#This Row],[ALIŞ]]+1.5,0)</f>
        <v>0</v>
      </c>
      <c r="H8" s="15">
        <f>IF(Tablo13489131415[[#This Row],[SATIŞ]]&gt;0,(Tablo13489131415[[#This Row],[ADET]]*Tablo13489131415[[#This Row],[SATIŞ]]-1.5),0)</f>
        <v>0</v>
      </c>
    </row>
    <row r="9" spans="2:18" ht="21" customHeight="1" x14ac:dyDescent="0.3">
      <c r="B9" s="13"/>
      <c r="D9" s="16"/>
      <c r="E9" s="3"/>
      <c r="F9" s="14" t="str">
        <f>IF(Tablo13489131415[[#This Row],[SATIŞ]]=0,"Açık",(E9-D9)*C9-3)</f>
        <v>Açık</v>
      </c>
      <c r="G9" s="15">
        <f>IF(Tablo13489131415[[#This Row],[ALIŞ]]&gt;0,Tablo13489131415[[#This Row],[ADET]]*Tablo13489131415[[#This Row],[ALIŞ]]+1.5,0)</f>
        <v>0</v>
      </c>
      <c r="H9" s="15">
        <f>IF(Tablo13489131415[[#This Row],[SATIŞ]]&gt;0,(Tablo13489131415[[#This Row],[ADET]]*Tablo13489131415[[#This Row],[SATIŞ]]-1.5),0)</f>
        <v>0</v>
      </c>
    </row>
    <row r="10" spans="2:18" ht="21" customHeight="1" x14ac:dyDescent="0.3">
      <c r="B10" s="13"/>
      <c r="D10" s="16"/>
      <c r="E10" s="3"/>
      <c r="F10" s="14" t="str">
        <f>IF(Tablo13489131415[[#This Row],[SATIŞ]]=0,"Açık",(E10-D10)*C10-3)</f>
        <v>Açık</v>
      </c>
      <c r="G10" s="15">
        <f>IF(Tablo13489131415[[#This Row],[ALIŞ]]&gt;0,Tablo13489131415[[#This Row],[ADET]]*Tablo13489131415[[#This Row],[ALIŞ]]+1.5,0)</f>
        <v>0</v>
      </c>
      <c r="H10" s="15">
        <f>IF(Tablo13489131415[[#This Row],[SATIŞ]]&gt;0,(Tablo13489131415[[#This Row],[ADET]]*Tablo13489131415[[#This Row],[SATIŞ]]-1.5),0)</f>
        <v>0</v>
      </c>
    </row>
    <row r="11" spans="2:18" ht="21" customHeight="1" x14ac:dyDescent="0.3">
      <c r="B11" s="13"/>
      <c r="D11" s="16"/>
      <c r="E11" s="3"/>
      <c r="F11" s="14" t="str">
        <f>IF(Tablo13489131415[[#This Row],[SATIŞ]]=0,"Açık",(E11-D11)*C11-3)</f>
        <v>Açık</v>
      </c>
      <c r="G11" s="15">
        <f>IF(Tablo13489131415[[#This Row],[ALIŞ]]&gt;0,Tablo13489131415[[#This Row],[ADET]]*Tablo13489131415[[#This Row],[ALIŞ]]+1.5,0)</f>
        <v>0</v>
      </c>
      <c r="H11" s="15">
        <f>IF(Tablo13489131415[[#This Row],[SATIŞ]]&gt;0,(Tablo13489131415[[#This Row],[ADET]]*Tablo13489131415[[#This Row],[SATIŞ]]-1.5),0)</f>
        <v>0</v>
      </c>
      <c r="J11">
        <f>+Tablo13489131415[[#This Row],[ALIŞ]]*1.02</f>
        <v>0</v>
      </c>
    </row>
    <row r="12" spans="2:18" ht="21" customHeight="1" x14ac:dyDescent="0.3">
      <c r="B12" s="13"/>
      <c r="D12" s="16"/>
      <c r="E12" s="3"/>
      <c r="F12" s="14" t="str">
        <f>IF(Tablo13489131415[[#This Row],[SATIŞ]]=0,"Açık",(E12-D12)*C12-3)</f>
        <v>Açık</v>
      </c>
      <c r="G12" s="15">
        <f>IF(Tablo13489131415[[#This Row],[ALIŞ]]&gt;0,Tablo13489131415[[#This Row],[ADET]]*Tablo13489131415[[#This Row],[ALIŞ]]+1.5,0)</f>
        <v>0</v>
      </c>
      <c r="H12" s="15">
        <f>IF(Tablo13489131415[[#This Row],[SATIŞ]]&gt;0,(Tablo13489131415[[#This Row],[ADET]]*Tablo13489131415[[#This Row],[SATIŞ]]-1.5),0)</f>
        <v>0</v>
      </c>
    </row>
    <row r="13" spans="2:18" ht="21" customHeight="1" x14ac:dyDescent="0.3">
      <c r="B13" s="13"/>
      <c r="D13" s="16"/>
      <c r="E13" s="3"/>
      <c r="F13" s="14" t="str">
        <f>IF(Tablo13489131415[[#This Row],[SATIŞ]]=0,"Açık",(E13-D13)*C13-3)</f>
        <v>Açık</v>
      </c>
      <c r="G13" s="15">
        <f>IF(Tablo13489131415[[#This Row],[ALIŞ]]&gt;0,Tablo13489131415[[#This Row],[ADET]]*Tablo13489131415[[#This Row],[ALIŞ]]+1.5,0)</f>
        <v>0</v>
      </c>
      <c r="H13" s="15">
        <f>IF(Tablo13489131415[[#This Row],[SATIŞ]]&gt;0,(Tablo13489131415[[#This Row],[ADET]]*Tablo13489131415[[#This Row],[SATIŞ]]-1.5),0)</f>
        <v>0</v>
      </c>
    </row>
    <row r="14" spans="2:18" ht="21" customHeight="1" x14ac:dyDescent="0.3">
      <c r="B14" s="13"/>
      <c r="D14" s="16"/>
      <c r="E14" s="3"/>
      <c r="F14" s="14" t="str">
        <f>IF(Tablo13489131415[[#This Row],[SATIŞ]]=0,"Açık",(E14-D14)*C14-3)</f>
        <v>Açık</v>
      </c>
      <c r="G14" s="15">
        <f>IF(Tablo13489131415[[#This Row],[ALIŞ]]&gt;0,Tablo13489131415[[#This Row],[ADET]]*Tablo13489131415[[#This Row],[ALIŞ]]+1.5,0)</f>
        <v>0</v>
      </c>
      <c r="H14" s="15">
        <f>IF(Tablo13489131415[[#This Row],[SATIŞ]]&gt;0,(Tablo13489131415[[#This Row],[ADET]]*Tablo13489131415[[#This Row],[SATIŞ]]-1.5),0)</f>
        <v>0</v>
      </c>
    </row>
    <row r="15" spans="2:18" ht="21" customHeight="1" x14ac:dyDescent="0.3">
      <c r="B15" s="13"/>
      <c r="D15" s="16"/>
      <c r="E15" s="3"/>
      <c r="F15" s="14" t="str">
        <f>IF(Tablo13489131415[[#This Row],[SATIŞ]]=0,"Açık",(E15-D15)*C15-3)</f>
        <v>Açık</v>
      </c>
      <c r="G15" s="15">
        <f>IF(Tablo13489131415[[#This Row],[ALIŞ]]&gt;0,Tablo13489131415[[#This Row],[ADET]]*Tablo13489131415[[#This Row],[ALIŞ]]+1.5,0)</f>
        <v>0</v>
      </c>
      <c r="H15" s="15">
        <f>IF(Tablo13489131415[[#This Row],[SATIŞ]]&gt;0,(Tablo13489131415[[#This Row],[ADET]]*Tablo13489131415[[#This Row],[SATIŞ]]-1.5),0)</f>
        <v>0</v>
      </c>
    </row>
    <row r="16" spans="2:18" ht="21" customHeight="1" x14ac:dyDescent="0.3">
      <c r="B16" s="13"/>
      <c r="D16" s="16"/>
      <c r="E16" s="3"/>
      <c r="F16" s="14" t="str">
        <f>IF(Tablo13489131415[[#This Row],[SATIŞ]]=0,"Açık",(E16-D16)*C16-3)</f>
        <v>Açık</v>
      </c>
      <c r="G16" s="15">
        <f>IF(Tablo13489131415[[#This Row],[ALIŞ]]&gt;0,Tablo13489131415[[#This Row],[ADET]]*Tablo13489131415[[#This Row],[ALIŞ]]+1.5,0)</f>
        <v>0</v>
      </c>
      <c r="H16" s="15">
        <f>IF(Tablo13489131415[[#This Row],[SATIŞ]]&gt;0,(Tablo13489131415[[#This Row],[ADET]]*Tablo13489131415[[#This Row],[SATIŞ]]-1.5),0)</f>
        <v>0</v>
      </c>
    </row>
    <row r="17" spans="2:8" ht="21" customHeight="1" x14ac:dyDescent="0.3">
      <c r="B17" s="13"/>
      <c r="D17" s="16"/>
      <c r="E17" s="3"/>
      <c r="F17" s="14" t="str">
        <f>IF(Tablo13489131415[[#This Row],[SATIŞ]]=0,"Açık",(E17-D17)*C17-3)</f>
        <v>Açık</v>
      </c>
      <c r="G17" s="15">
        <f>IF(Tablo13489131415[[#This Row],[ALIŞ]]&gt;0,Tablo13489131415[[#This Row],[ADET]]*Tablo13489131415[[#This Row],[ALIŞ]]+1.5,0)</f>
        <v>0</v>
      </c>
      <c r="H17" s="15">
        <f>IF(Tablo13489131415[[#This Row],[SATIŞ]]&gt;0,(Tablo13489131415[[#This Row],[ADET]]*Tablo13489131415[[#This Row],[SATIŞ]]-1.5),0)</f>
        <v>0</v>
      </c>
    </row>
    <row r="18" spans="2:8" ht="21" customHeight="1" x14ac:dyDescent="0.3">
      <c r="B18" s="13"/>
      <c r="D18" s="16"/>
      <c r="E18" s="3"/>
      <c r="F18" s="14" t="str">
        <f>IF(Tablo13489131415[[#This Row],[SATIŞ]]=0,"Açık",(E18-D18)*C18-3)</f>
        <v>Açık</v>
      </c>
      <c r="G18" s="15">
        <f>IF(Tablo13489131415[[#This Row],[ALIŞ]]&gt;0,Tablo13489131415[[#This Row],[ADET]]*Tablo13489131415[[#This Row],[ALIŞ]]+1.5,0)</f>
        <v>0</v>
      </c>
      <c r="H18" s="15">
        <f>IF(Tablo13489131415[[#This Row],[SATIŞ]]&gt;0,(Tablo13489131415[[#This Row],[ADET]]*Tablo13489131415[[#This Row],[SATIŞ]]-1.5),0)</f>
        <v>0</v>
      </c>
    </row>
    <row r="19" spans="2:8" ht="21" customHeight="1" x14ac:dyDescent="0.3">
      <c r="B19" s="13"/>
      <c r="D19" s="16"/>
      <c r="E19" s="3"/>
      <c r="F19" s="14" t="str">
        <f>IF(Tablo13489131415[[#This Row],[SATIŞ]]=0,"Açık",(E19-D19)*C19-3)</f>
        <v>Açık</v>
      </c>
      <c r="G19" s="15">
        <f>IF(Tablo13489131415[[#This Row],[ALIŞ]]&gt;0,Tablo13489131415[[#This Row],[ADET]]*Tablo13489131415[[#This Row],[ALIŞ]]+1.5,0)</f>
        <v>0</v>
      </c>
      <c r="H19" s="15">
        <f>IF(Tablo13489131415[[#This Row],[SATIŞ]]&gt;0,(Tablo13489131415[[#This Row],[ADET]]*Tablo13489131415[[#This Row],[SATIŞ]]-1.5),0)</f>
        <v>0</v>
      </c>
    </row>
    <row r="20" spans="2:8" ht="21" customHeight="1" x14ac:dyDescent="0.3">
      <c r="B20" s="13"/>
      <c r="D20" s="16"/>
      <c r="E20" s="3"/>
      <c r="F20" s="14" t="str">
        <f>IF(Tablo13489131415[[#This Row],[SATIŞ]]=0,"Açık",(E20-D20)*C20-3)</f>
        <v>Açık</v>
      </c>
      <c r="G20" s="15">
        <f>IF(Tablo13489131415[[#This Row],[ALIŞ]]&gt;0,Tablo13489131415[[#This Row],[ADET]]*Tablo13489131415[[#This Row],[ALIŞ]]+1.5,0)</f>
        <v>0</v>
      </c>
      <c r="H20" s="15">
        <f>IF(Tablo13489131415[[#This Row],[SATIŞ]]&gt;0,(Tablo13489131415[[#This Row],[ADET]]*Tablo13489131415[[#This Row],[SATIŞ]]-1.5),0)</f>
        <v>0</v>
      </c>
    </row>
    <row r="21" spans="2:8" ht="21" customHeight="1" x14ac:dyDescent="0.3">
      <c r="B21" s="13"/>
      <c r="D21" s="16"/>
      <c r="E21" s="3"/>
      <c r="F21" s="14" t="str">
        <f>IF(Tablo13489131415[[#This Row],[SATIŞ]]=0,"Açık",(E21-D21)*C21-3)</f>
        <v>Açık</v>
      </c>
      <c r="G21" s="15">
        <f>IF(Tablo13489131415[[#This Row],[ALIŞ]]&gt;0,Tablo13489131415[[#This Row],[ADET]]*Tablo13489131415[[#This Row],[ALIŞ]]+1.5,0)</f>
        <v>0</v>
      </c>
      <c r="H21" s="15">
        <f>IF(Tablo13489131415[[#This Row],[SATIŞ]]&gt;0,(Tablo13489131415[[#This Row],[ADET]]*Tablo13489131415[[#This Row],[SATIŞ]]-1.5),0)</f>
        <v>0</v>
      </c>
    </row>
    <row r="22" spans="2:8" ht="21" customHeight="1" x14ac:dyDescent="0.3">
      <c r="B22" s="13"/>
      <c r="D22" s="16"/>
      <c r="E22" s="3"/>
      <c r="F22" s="14" t="str">
        <f>IF(Tablo13489131415[[#This Row],[SATIŞ]]=0,"Açık",(E22-D22)*C22-3)</f>
        <v>Açık</v>
      </c>
      <c r="G22" s="15">
        <f>IF(Tablo13489131415[[#This Row],[ALIŞ]]&gt;0,Tablo13489131415[[#This Row],[ADET]]*Tablo13489131415[[#This Row],[ALIŞ]]+1.5,0)</f>
        <v>0</v>
      </c>
      <c r="H22" s="15">
        <f>IF(Tablo13489131415[[#This Row],[SATIŞ]]&gt;0,(Tablo13489131415[[#This Row],[ADET]]*Tablo13489131415[[#This Row],[SATIŞ]]-1.5),0)</f>
        <v>0</v>
      </c>
    </row>
    <row r="23" spans="2:8" ht="21" customHeight="1" x14ac:dyDescent="0.3">
      <c r="B23" s="13"/>
      <c r="D23" s="16"/>
      <c r="E23" s="3"/>
      <c r="F23" s="14" t="str">
        <f>IF(Tablo13489131415[[#This Row],[SATIŞ]]=0,"Açık",(E23-D23)*C23-3)</f>
        <v>Açık</v>
      </c>
      <c r="G23" s="15">
        <f>IF(Tablo13489131415[[#This Row],[ALIŞ]]&gt;0,Tablo13489131415[[#This Row],[ADET]]*Tablo13489131415[[#This Row],[ALIŞ]]+1.5,0)</f>
        <v>0</v>
      </c>
      <c r="H23" s="15">
        <f>IF(Tablo13489131415[[#This Row],[SATIŞ]]&gt;0,(Tablo13489131415[[#This Row],[ADET]]*Tablo13489131415[[#This Row],[SATIŞ]]-1.5),0)</f>
        <v>0</v>
      </c>
    </row>
    <row r="24" spans="2:8" ht="21" customHeight="1" x14ac:dyDescent="0.3">
      <c r="B24" s="13"/>
      <c r="D24" s="16"/>
      <c r="E24" s="3"/>
      <c r="F24" s="14" t="str">
        <f>IF(Tablo13489131415[[#This Row],[SATIŞ]]=0,"Açık",(E24-D24)*C24-3)</f>
        <v>Açık</v>
      </c>
      <c r="G24" s="15">
        <f>IF(Tablo13489131415[[#This Row],[ALIŞ]]&gt;0,Tablo13489131415[[#This Row],[ADET]]*Tablo13489131415[[#This Row],[ALIŞ]]+1.5,0)</f>
        <v>0</v>
      </c>
      <c r="H24" s="15">
        <f>IF(Tablo13489131415[[#This Row],[SATIŞ]]&gt;0,(Tablo13489131415[[#This Row],[ADET]]*Tablo13489131415[[#This Row],[SATIŞ]]-1.5),0)</f>
        <v>0</v>
      </c>
    </row>
    <row r="25" spans="2:8" ht="21" customHeight="1" x14ac:dyDescent="0.3">
      <c r="B25" s="13"/>
      <c r="D25" s="16"/>
      <c r="E25" s="3"/>
      <c r="F25" s="14" t="str">
        <f>IF(Tablo13489131415[[#This Row],[SATIŞ]]=0,"Açık",(E25-D25)*C25-3)</f>
        <v>Açık</v>
      </c>
      <c r="G25" s="15">
        <f>IF(Tablo13489131415[[#This Row],[ALIŞ]]&gt;0,Tablo13489131415[[#This Row],[ADET]]*Tablo13489131415[[#This Row],[ALIŞ]]+1.5,0)</f>
        <v>0</v>
      </c>
      <c r="H25" s="15">
        <f>IF(Tablo13489131415[[#This Row],[SATIŞ]]&gt;0,(Tablo13489131415[[#This Row],[ADET]]*Tablo13489131415[[#This Row],[SATIŞ]]-1.5),0)</f>
        <v>0</v>
      </c>
    </row>
    <row r="26" spans="2:8" ht="21" customHeight="1" x14ac:dyDescent="0.3">
      <c r="B26" s="13"/>
      <c r="D26" s="16"/>
      <c r="E26" s="3"/>
      <c r="F26" s="14" t="str">
        <f>IF(Tablo13489131415[[#This Row],[SATIŞ]]=0,"Açık",(E26-D26)*C26-3)</f>
        <v>Açık</v>
      </c>
      <c r="G26" s="15">
        <f>IF(Tablo13489131415[[#This Row],[ALIŞ]]&gt;0,Tablo13489131415[[#This Row],[ADET]]*Tablo13489131415[[#This Row],[ALIŞ]]+1.5,0)</f>
        <v>0</v>
      </c>
      <c r="H26" s="15">
        <f>IF(Tablo13489131415[[#This Row],[SATIŞ]]&gt;0,(Tablo13489131415[[#This Row],[ADET]]*Tablo13489131415[[#This Row],[SATIŞ]]-1.5),0)</f>
        <v>0</v>
      </c>
    </row>
    <row r="27" spans="2:8" ht="21" customHeight="1" x14ac:dyDescent="0.3">
      <c r="B27" s="13"/>
      <c r="D27" s="16"/>
      <c r="E27" s="3"/>
      <c r="F27" s="14" t="str">
        <f>IF(Tablo13489131415[[#This Row],[SATIŞ]]=0,"Açık",(E27-D27)*C27-3)</f>
        <v>Açık</v>
      </c>
      <c r="G27" s="15">
        <f>IF(Tablo13489131415[[#This Row],[ALIŞ]]&gt;0,Tablo13489131415[[#This Row],[ADET]]*Tablo13489131415[[#This Row],[ALIŞ]]+1.5,0)</f>
        <v>0</v>
      </c>
      <c r="H27" s="15">
        <f>IF(Tablo13489131415[[#This Row],[SATIŞ]]&gt;0,(Tablo13489131415[[#This Row],[ADET]]*Tablo13489131415[[#This Row],[SATIŞ]]-1.5),0)</f>
        <v>0</v>
      </c>
    </row>
  </sheetData>
  <conditionalFormatting sqref="B4:E4 B5:F27">
    <cfRule type="expression" dxfId="83" priority="4">
      <formula>$F4&lt;0</formula>
    </cfRule>
    <cfRule type="expression" dxfId="82" priority="5">
      <formula>$F4="Açık"</formula>
    </cfRule>
    <cfRule type="expression" dxfId="81" priority="6">
      <formula>$F4&gt;0</formula>
    </cfRule>
  </conditionalFormatting>
  <conditionalFormatting sqref="F4">
    <cfRule type="expression" dxfId="80" priority="1">
      <formula>$F4&lt;0</formula>
    </cfRule>
    <cfRule type="expression" dxfId="79" priority="2">
      <formula>$F4="Açık"</formula>
    </cfRule>
    <cfRule type="expression" dxfId="78" priority="3">
      <formula>$F4&gt;0</formula>
    </cfRule>
  </conditionalFormatting>
  <hyperlinks>
    <hyperlink ref="B1" location="İcmal!A1" display="ANA SAYFA" xr:uid="{75426B71-DC53-4DBB-9A91-80A0904C37DE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62CF-E50D-4743-9D15-3805FF7ACFA0}">
  <dimension ref="B1:R27"/>
  <sheetViews>
    <sheetView workbookViewId="0">
      <selection activeCell="J26" sqref="J26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SUMIF(Tablo13489131425[KAR],"Açık",Tablo13489131425[ADET])</f>
        <v>313</v>
      </c>
      <c r="D1" s="3">
        <f>+İcmal!E27</f>
        <v>0.67569999999999997</v>
      </c>
      <c r="E1" s="16">
        <f>C1*D1</f>
        <v>211.4941</v>
      </c>
      <c r="F1" s="3">
        <f>IFERROR(((SUM(Tablo13489131425[ALIŞ TUTAR])-SUM(Tablo13489131425[SATIŞ TUTAR]))/C1),"")</f>
        <v>0.76578274760383391</v>
      </c>
      <c r="G1" s="3">
        <f>IF(M3=0,L3,C1*(D1-F1))</f>
        <v>-28.195900000000027</v>
      </c>
      <c r="J1" s="4">
        <v>0.02</v>
      </c>
      <c r="L1" s="5">
        <f>M1*(1-$J$1)</f>
        <v>0.75046709265175726</v>
      </c>
      <c r="M1" s="6">
        <f>F1</f>
        <v>0.76578274760383391</v>
      </c>
      <c r="N1" s="5">
        <f>M1*(1+$J$1)</f>
        <v>0.78109840255591056</v>
      </c>
      <c r="P1" s="5">
        <f>Q1*(1-$J$1)</f>
        <v>0.66218599999999994</v>
      </c>
      <c r="Q1" s="6">
        <f>+D1</f>
        <v>0.67569999999999997</v>
      </c>
      <c r="R1" s="5">
        <f>Q1*(1+$J$1)</f>
        <v>0.68921399999999999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16">
        <f>SUM(Tablo13489131425[KAR])</f>
        <v>0</v>
      </c>
      <c r="M3" s="12">
        <f>C1</f>
        <v>313</v>
      </c>
    </row>
    <row r="4" spans="2:18" ht="21" customHeight="1" x14ac:dyDescent="0.3">
      <c r="B4" s="13">
        <v>45096</v>
      </c>
      <c r="C4" s="8">
        <v>13</v>
      </c>
      <c r="D4" s="16">
        <v>1.25</v>
      </c>
      <c r="E4" s="16"/>
      <c r="F4" s="14" t="str">
        <f>IF(Tablo13489131425[[#This Row],[SATIŞ]]=0,"Açık",(E4-D4)*C4-3)</f>
        <v>Açık</v>
      </c>
      <c r="G4" s="15">
        <f>IF(Tablo13489131425[[#This Row],[ALIŞ]]&gt;0,Tablo13489131425[[#This Row],[ADET]]*Tablo13489131425[[#This Row],[ALIŞ]]+1.5,0)</f>
        <v>17.75</v>
      </c>
      <c r="H4" s="15">
        <f>IF(Tablo13489131425[[#This Row],[SATIŞ]]&gt;0,(Tablo13489131425[[#This Row],[ADET]]*Tablo13489131425[[#This Row],[SATIŞ]]-1.5),0)</f>
        <v>0</v>
      </c>
      <c r="L4" s="5"/>
      <c r="M4" s="5"/>
      <c r="N4" s="5"/>
    </row>
    <row r="5" spans="2:18" ht="21" customHeight="1" x14ac:dyDescent="0.3">
      <c r="B5" s="13">
        <v>45348</v>
      </c>
      <c r="C5" s="8">
        <v>300</v>
      </c>
      <c r="D5" s="16">
        <v>0.73480000000000001</v>
      </c>
      <c r="E5" s="16"/>
      <c r="F5" s="14" t="str">
        <f>IF(Tablo13489131425[[#This Row],[SATIŞ]]=0,"Açık",(E5-D5)*C5-3)</f>
        <v>Açık</v>
      </c>
      <c r="G5" s="15">
        <f>IF(Tablo13489131425[[#This Row],[ALIŞ]]&gt;0,Tablo13489131425[[#This Row],[ADET]]*Tablo13489131425[[#This Row],[ALIŞ]]+1.5,0)</f>
        <v>221.94</v>
      </c>
      <c r="H5" s="15">
        <f>IF(Tablo13489131425[[#This Row],[SATIŞ]]&gt;0,(Tablo13489131425[[#This Row],[ADET]]*Tablo13489131425[[#This Row],[SATIŞ]]-1.5),0)</f>
        <v>0</v>
      </c>
    </row>
    <row r="6" spans="2:18" ht="21" customHeight="1" x14ac:dyDescent="0.3">
      <c r="B6" s="13"/>
      <c r="D6" s="16"/>
      <c r="E6" s="16"/>
      <c r="F6" s="14" t="str">
        <f>IF(Tablo13489131425[[#This Row],[SATIŞ]]=0,"Açık",(E6-D6)*C6-3)</f>
        <v>Açık</v>
      </c>
      <c r="G6" s="15">
        <f>IF(Tablo13489131425[[#This Row],[ALIŞ]]&gt;0,Tablo13489131425[[#This Row],[ADET]]*Tablo13489131425[[#This Row],[ALIŞ]]+1.5,0)</f>
        <v>0</v>
      </c>
      <c r="H6" s="15">
        <f>IF(Tablo13489131425[[#This Row],[SATIŞ]]&gt;0,(Tablo13489131425[[#This Row],[ADET]]*Tablo13489131425[[#This Row],[SATIŞ]]-1.5),0)</f>
        <v>0</v>
      </c>
    </row>
    <row r="7" spans="2:18" ht="21" customHeight="1" x14ac:dyDescent="0.3">
      <c r="B7" s="13"/>
      <c r="D7" s="16"/>
      <c r="E7" s="16"/>
      <c r="F7" s="14" t="str">
        <f>IF(Tablo13489131425[[#This Row],[SATIŞ]]=0,"Açık",(E7-D7)*C7-3)</f>
        <v>Açık</v>
      </c>
      <c r="G7" s="15">
        <f>IF(Tablo13489131425[[#This Row],[ALIŞ]]&gt;0,Tablo13489131425[[#This Row],[ADET]]*Tablo13489131425[[#This Row],[ALIŞ]]+1.5,0)</f>
        <v>0</v>
      </c>
      <c r="H7" s="15">
        <f>IF(Tablo13489131425[[#This Row],[SATIŞ]]&gt;0,(Tablo13489131425[[#This Row],[ADET]]*Tablo13489131425[[#This Row],[SATIŞ]]-1.5),0)</f>
        <v>0</v>
      </c>
    </row>
    <row r="8" spans="2:18" ht="21" customHeight="1" x14ac:dyDescent="0.3">
      <c r="B8" s="13"/>
      <c r="D8" s="16"/>
      <c r="E8" s="16"/>
      <c r="F8" s="14" t="str">
        <f>IF(Tablo13489131425[[#This Row],[SATIŞ]]=0,"Açık",(E8-D8)*C8-3)</f>
        <v>Açık</v>
      </c>
      <c r="G8" s="15">
        <f>IF(Tablo13489131425[[#This Row],[ALIŞ]]&gt;0,Tablo13489131425[[#This Row],[ADET]]*Tablo13489131425[[#This Row],[ALIŞ]]+1.5,0)</f>
        <v>0</v>
      </c>
      <c r="H8" s="15">
        <f>IF(Tablo13489131425[[#This Row],[SATIŞ]]&gt;0,(Tablo13489131425[[#This Row],[ADET]]*Tablo13489131425[[#This Row],[SATIŞ]]-1.5),0)</f>
        <v>0</v>
      </c>
    </row>
    <row r="9" spans="2:18" ht="21" customHeight="1" x14ac:dyDescent="0.3">
      <c r="B9" s="13"/>
      <c r="D9" s="16"/>
      <c r="E9" s="16"/>
      <c r="F9" s="14" t="str">
        <f>IF(Tablo13489131425[[#This Row],[SATIŞ]]=0,"Açık",(E9-D9)*C9-3)</f>
        <v>Açık</v>
      </c>
      <c r="G9" s="15">
        <f>IF(Tablo13489131425[[#This Row],[ALIŞ]]&gt;0,Tablo13489131425[[#This Row],[ADET]]*Tablo13489131425[[#This Row],[ALIŞ]]+1.5,0)</f>
        <v>0</v>
      </c>
      <c r="H9" s="15">
        <f>IF(Tablo13489131425[[#This Row],[SATIŞ]]&gt;0,(Tablo13489131425[[#This Row],[ADET]]*Tablo13489131425[[#This Row],[SATIŞ]]-1.5),0)</f>
        <v>0</v>
      </c>
    </row>
    <row r="10" spans="2:18" ht="21" customHeight="1" x14ac:dyDescent="0.3">
      <c r="B10" s="13"/>
      <c r="D10" s="16"/>
      <c r="E10" s="16"/>
      <c r="F10" s="14" t="str">
        <f>IF(Tablo13489131425[[#This Row],[SATIŞ]]=0,"Açık",(E10-D10)*C10-3)</f>
        <v>Açık</v>
      </c>
      <c r="G10" s="15">
        <f>IF(Tablo13489131425[[#This Row],[ALIŞ]]&gt;0,Tablo13489131425[[#This Row],[ADET]]*Tablo13489131425[[#This Row],[ALIŞ]]+1.5,0)</f>
        <v>0</v>
      </c>
      <c r="H10" s="15">
        <f>IF(Tablo13489131425[[#This Row],[SATIŞ]]&gt;0,(Tablo13489131425[[#This Row],[ADET]]*Tablo13489131425[[#This Row],[SATIŞ]]-1.5),0)</f>
        <v>0</v>
      </c>
    </row>
    <row r="11" spans="2:18" ht="21" customHeight="1" x14ac:dyDescent="0.3">
      <c r="B11" s="13"/>
      <c r="D11" s="16"/>
      <c r="E11" s="16"/>
      <c r="F11" s="14" t="str">
        <f>IF(Tablo13489131425[[#This Row],[SATIŞ]]=0,"Açık",(E11-D11)*C11-3)</f>
        <v>Açık</v>
      </c>
      <c r="G11" s="15">
        <f>IF(Tablo13489131425[[#This Row],[ALIŞ]]&gt;0,Tablo13489131425[[#This Row],[ADET]]*Tablo13489131425[[#This Row],[ALIŞ]]+1.5,0)</f>
        <v>0</v>
      </c>
      <c r="H11" s="15">
        <f>IF(Tablo13489131425[[#This Row],[SATIŞ]]&gt;0,(Tablo13489131425[[#This Row],[ADET]]*Tablo13489131425[[#This Row],[SATIŞ]]-1.5),0)</f>
        <v>0</v>
      </c>
      <c r="J11">
        <f>+Tablo13489131425[[#This Row],[ALIŞ]]*1.02</f>
        <v>0</v>
      </c>
    </row>
    <row r="12" spans="2:18" ht="21" customHeight="1" x14ac:dyDescent="0.3">
      <c r="B12" s="13"/>
      <c r="D12" s="16"/>
      <c r="E12" s="16"/>
      <c r="F12" s="14" t="str">
        <f>IF(Tablo13489131425[[#This Row],[SATIŞ]]=0,"Açık",(E12-D12)*C12-3)</f>
        <v>Açık</v>
      </c>
      <c r="G12" s="15">
        <f>IF(Tablo13489131425[[#This Row],[ALIŞ]]&gt;0,Tablo13489131425[[#This Row],[ADET]]*Tablo13489131425[[#This Row],[ALIŞ]]+1.5,0)</f>
        <v>0</v>
      </c>
      <c r="H12" s="15">
        <f>IF(Tablo13489131425[[#This Row],[SATIŞ]]&gt;0,(Tablo13489131425[[#This Row],[ADET]]*Tablo13489131425[[#This Row],[SATIŞ]]-1.5),0)</f>
        <v>0</v>
      </c>
    </row>
    <row r="13" spans="2:18" ht="21" customHeight="1" x14ac:dyDescent="0.3">
      <c r="B13" s="13"/>
      <c r="D13" s="16"/>
      <c r="E13" s="16"/>
      <c r="F13" s="14" t="str">
        <f>IF(Tablo13489131425[[#This Row],[SATIŞ]]=0,"Açık",(E13-D13)*C13-3)</f>
        <v>Açık</v>
      </c>
      <c r="G13" s="15">
        <f>IF(Tablo13489131425[[#This Row],[ALIŞ]]&gt;0,Tablo13489131425[[#This Row],[ADET]]*Tablo13489131425[[#This Row],[ALIŞ]]+1.5,0)</f>
        <v>0</v>
      </c>
      <c r="H13" s="15">
        <f>IF(Tablo13489131425[[#This Row],[SATIŞ]]&gt;0,(Tablo13489131425[[#This Row],[ADET]]*Tablo13489131425[[#This Row],[SATIŞ]]-1.5),0)</f>
        <v>0</v>
      </c>
    </row>
    <row r="14" spans="2:18" ht="21" customHeight="1" x14ac:dyDescent="0.3">
      <c r="B14" s="13"/>
      <c r="D14" s="16"/>
      <c r="E14" s="16"/>
      <c r="F14" s="14" t="str">
        <f>IF(Tablo13489131425[[#This Row],[SATIŞ]]=0,"Açık",(E14-D14)*C14-3)</f>
        <v>Açık</v>
      </c>
      <c r="G14" s="15">
        <f>IF(Tablo13489131425[[#This Row],[ALIŞ]]&gt;0,Tablo13489131425[[#This Row],[ADET]]*Tablo13489131425[[#This Row],[ALIŞ]]+1.5,0)</f>
        <v>0</v>
      </c>
      <c r="H14" s="15">
        <f>IF(Tablo13489131425[[#This Row],[SATIŞ]]&gt;0,(Tablo13489131425[[#This Row],[ADET]]*Tablo13489131425[[#This Row],[SATIŞ]]-1.5),0)</f>
        <v>0</v>
      </c>
    </row>
    <row r="15" spans="2:18" ht="21" customHeight="1" x14ac:dyDescent="0.3">
      <c r="B15" s="13"/>
      <c r="D15" s="16"/>
      <c r="E15" s="16"/>
      <c r="F15" s="14" t="str">
        <f>IF(Tablo13489131425[[#This Row],[SATIŞ]]=0,"Açık",(E15-D15)*C15-3)</f>
        <v>Açık</v>
      </c>
      <c r="G15" s="15">
        <f>IF(Tablo13489131425[[#This Row],[ALIŞ]]&gt;0,Tablo13489131425[[#This Row],[ADET]]*Tablo13489131425[[#This Row],[ALIŞ]]+1.5,0)</f>
        <v>0</v>
      </c>
      <c r="H15" s="15">
        <f>IF(Tablo13489131425[[#This Row],[SATIŞ]]&gt;0,(Tablo13489131425[[#This Row],[ADET]]*Tablo13489131425[[#This Row],[SATIŞ]]-1.5),0)</f>
        <v>0</v>
      </c>
    </row>
    <row r="16" spans="2:18" ht="21" customHeight="1" x14ac:dyDescent="0.3">
      <c r="B16" s="13"/>
      <c r="D16" s="16"/>
      <c r="E16" s="16"/>
      <c r="F16" s="14" t="str">
        <f>IF(Tablo13489131425[[#This Row],[SATIŞ]]=0,"Açık",(E16-D16)*C16-3)</f>
        <v>Açık</v>
      </c>
      <c r="G16" s="15">
        <f>IF(Tablo13489131425[[#This Row],[ALIŞ]]&gt;0,Tablo13489131425[[#This Row],[ADET]]*Tablo13489131425[[#This Row],[ALIŞ]]+1.5,0)</f>
        <v>0</v>
      </c>
      <c r="H16" s="15">
        <f>IF(Tablo13489131425[[#This Row],[SATIŞ]]&gt;0,(Tablo13489131425[[#This Row],[ADET]]*Tablo13489131425[[#This Row],[SATIŞ]]-1.5),0)</f>
        <v>0</v>
      </c>
    </row>
    <row r="17" spans="2:8" ht="21" customHeight="1" x14ac:dyDescent="0.3">
      <c r="B17" s="13"/>
      <c r="D17" s="16"/>
      <c r="E17" s="16"/>
      <c r="F17" s="14" t="str">
        <f>IF(Tablo13489131425[[#This Row],[SATIŞ]]=0,"Açık",(E17-D17)*C17-3)</f>
        <v>Açık</v>
      </c>
      <c r="G17" s="15">
        <f>IF(Tablo13489131425[[#This Row],[ALIŞ]]&gt;0,Tablo13489131425[[#This Row],[ADET]]*Tablo13489131425[[#This Row],[ALIŞ]]+1.5,0)</f>
        <v>0</v>
      </c>
      <c r="H17" s="15">
        <f>IF(Tablo13489131425[[#This Row],[SATIŞ]]&gt;0,(Tablo13489131425[[#This Row],[ADET]]*Tablo13489131425[[#This Row],[SATIŞ]]-1.5),0)</f>
        <v>0</v>
      </c>
    </row>
    <row r="18" spans="2:8" ht="21" customHeight="1" x14ac:dyDescent="0.3">
      <c r="B18" s="13"/>
      <c r="D18" s="16"/>
      <c r="E18" s="16"/>
      <c r="F18" s="14" t="str">
        <f>IF(Tablo13489131425[[#This Row],[SATIŞ]]=0,"Açık",(E18-D18)*C18-3)</f>
        <v>Açık</v>
      </c>
      <c r="G18" s="15">
        <f>IF(Tablo13489131425[[#This Row],[ALIŞ]]&gt;0,Tablo13489131425[[#This Row],[ADET]]*Tablo13489131425[[#This Row],[ALIŞ]]+1.5,0)</f>
        <v>0</v>
      </c>
      <c r="H18" s="15">
        <f>IF(Tablo13489131425[[#This Row],[SATIŞ]]&gt;0,(Tablo13489131425[[#This Row],[ADET]]*Tablo13489131425[[#This Row],[SATIŞ]]-1.5),0)</f>
        <v>0</v>
      </c>
    </row>
    <row r="19" spans="2:8" ht="21" customHeight="1" x14ac:dyDescent="0.3">
      <c r="B19" s="13"/>
      <c r="D19" s="16"/>
      <c r="E19" s="16"/>
      <c r="F19" s="14" t="str">
        <f>IF(Tablo13489131425[[#This Row],[SATIŞ]]=0,"Açık",(E19-D19)*C19-3)</f>
        <v>Açık</v>
      </c>
      <c r="G19" s="15">
        <f>IF(Tablo13489131425[[#This Row],[ALIŞ]]&gt;0,Tablo13489131425[[#This Row],[ADET]]*Tablo13489131425[[#This Row],[ALIŞ]]+1.5,0)</f>
        <v>0</v>
      </c>
      <c r="H19" s="15">
        <f>IF(Tablo13489131425[[#This Row],[SATIŞ]]&gt;0,(Tablo13489131425[[#This Row],[ADET]]*Tablo13489131425[[#This Row],[SATIŞ]]-1.5),0)</f>
        <v>0</v>
      </c>
    </row>
    <row r="20" spans="2:8" ht="21" customHeight="1" x14ac:dyDescent="0.3">
      <c r="B20" s="13"/>
      <c r="D20" s="16"/>
      <c r="E20" s="16"/>
      <c r="F20" s="14" t="str">
        <f>IF(Tablo13489131425[[#This Row],[SATIŞ]]=0,"Açık",(E20-D20)*C20-3)</f>
        <v>Açık</v>
      </c>
      <c r="G20" s="15">
        <f>IF(Tablo13489131425[[#This Row],[ALIŞ]]&gt;0,Tablo13489131425[[#This Row],[ADET]]*Tablo13489131425[[#This Row],[ALIŞ]]+1.5,0)</f>
        <v>0</v>
      </c>
      <c r="H20" s="15">
        <f>IF(Tablo13489131425[[#This Row],[SATIŞ]]&gt;0,(Tablo13489131425[[#This Row],[ADET]]*Tablo13489131425[[#This Row],[SATIŞ]]-1.5),0)</f>
        <v>0</v>
      </c>
    </row>
    <row r="21" spans="2:8" ht="21" customHeight="1" x14ac:dyDescent="0.3">
      <c r="B21" s="13"/>
      <c r="D21" s="16"/>
      <c r="E21" s="16"/>
      <c r="F21" s="14" t="str">
        <f>IF(Tablo13489131425[[#This Row],[SATIŞ]]=0,"Açık",(E21-D21)*C21-3)</f>
        <v>Açık</v>
      </c>
      <c r="G21" s="15">
        <f>IF(Tablo13489131425[[#This Row],[ALIŞ]]&gt;0,Tablo13489131425[[#This Row],[ADET]]*Tablo13489131425[[#This Row],[ALIŞ]]+1.5,0)</f>
        <v>0</v>
      </c>
      <c r="H21" s="15">
        <f>IF(Tablo13489131425[[#This Row],[SATIŞ]]&gt;0,(Tablo13489131425[[#This Row],[ADET]]*Tablo13489131425[[#This Row],[SATIŞ]]-1.5),0)</f>
        <v>0</v>
      </c>
    </row>
    <row r="22" spans="2:8" ht="21" customHeight="1" x14ac:dyDescent="0.3">
      <c r="B22" s="13"/>
      <c r="D22" s="16"/>
      <c r="E22" s="16"/>
      <c r="F22" s="14" t="str">
        <f>IF(Tablo13489131425[[#This Row],[SATIŞ]]=0,"Açık",(E22-D22)*C22-3)</f>
        <v>Açık</v>
      </c>
      <c r="G22" s="15">
        <f>IF(Tablo13489131425[[#This Row],[ALIŞ]]&gt;0,Tablo13489131425[[#This Row],[ADET]]*Tablo13489131425[[#This Row],[ALIŞ]]+1.5,0)</f>
        <v>0</v>
      </c>
      <c r="H22" s="15">
        <f>IF(Tablo13489131425[[#This Row],[SATIŞ]]&gt;0,(Tablo13489131425[[#This Row],[ADET]]*Tablo13489131425[[#This Row],[SATIŞ]]-1.5),0)</f>
        <v>0</v>
      </c>
    </row>
    <row r="23" spans="2:8" ht="21" customHeight="1" x14ac:dyDescent="0.3">
      <c r="B23" s="13"/>
      <c r="D23" s="16"/>
      <c r="E23" s="16"/>
      <c r="F23" s="14" t="str">
        <f>IF(Tablo13489131425[[#This Row],[SATIŞ]]=0,"Açık",(E23-D23)*C23-3)</f>
        <v>Açık</v>
      </c>
      <c r="G23" s="15">
        <f>IF(Tablo13489131425[[#This Row],[ALIŞ]]&gt;0,Tablo13489131425[[#This Row],[ADET]]*Tablo13489131425[[#This Row],[ALIŞ]]+1.5,0)</f>
        <v>0</v>
      </c>
      <c r="H23" s="15">
        <f>IF(Tablo13489131425[[#This Row],[SATIŞ]]&gt;0,(Tablo13489131425[[#This Row],[ADET]]*Tablo13489131425[[#This Row],[SATIŞ]]-1.5),0)</f>
        <v>0</v>
      </c>
    </row>
    <row r="24" spans="2:8" ht="21" customHeight="1" x14ac:dyDescent="0.3">
      <c r="B24" s="13"/>
      <c r="D24" s="16"/>
      <c r="E24" s="16"/>
      <c r="F24" s="14" t="str">
        <f>IF(Tablo13489131425[[#This Row],[SATIŞ]]=0,"Açık",(E24-D24)*C24-3)</f>
        <v>Açık</v>
      </c>
      <c r="G24" s="15">
        <f>IF(Tablo13489131425[[#This Row],[ALIŞ]]&gt;0,Tablo13489131425[[#This Row],[ADET]]*Tablo13489131425[[#This Row],[ALIŞ]]+1.5,0)</f>
        <v>0</v>
      </c>
      <c r="H24" s="15">
        <f>IF(Tablo13489131425[[#This Row],[SATIŞ]]&gt;0,(Tablo13489131425[[#This Row],[ADET]]*Tablo13489131425[[#This Row],[SATIŞ]]-1.5),0)</f>
        <v>0</v>
      </c>
    </row>
    <row r="25" spans="2:8" ht="21" customHeight="1" x14ac:dyDescent="0.3">
      <c r="B25" s="13"/>
      <c r="D25" s="16"/>
      <c r="E25" s="16"/>
      <c r="F25" s="14" t="str">
        <f>IF(Tablo13489131425[[#This Row],[SATIŞ]]=0,"Açık",(E25-D25)*C25-3)</f>
        <v>Açık</v>
      </c>
      <c r="G25" s="15">
        <f>IF(Tablo13489131425[[#This Row],[ALIŞ]]&gt;0,Tablo13489131425[[#This Row],[ADET]]*Tablo13489131425[[#This Row],[ALIŞ]]+1.5,0)</f>
        <v>0</v>
      </c>
      <c r="H25" s="15">
        <f>IF(Tablo13489131425[[#This Row],[SATIŞ]]&gt;0,(Tablo13489131425[[#This Row],[ADET]]*Tablo13489131425[[#This Row],[SATIŞ]]-1.5),0)</f>
        <v>0</v>
      </c>
    </row>
    <row r="26" spans="2:8" ht="21" customHeight="1" x14ac:dyDescent="0.3">
      <c r="B26" s="13"/>
      <c r="D26" s="16"/>
      <c r="E26" s="16"/>
      <c r="F26" s="14" t="str">
        <f>IF(Tablo13489131425[[#This Row],[SATIŞ]]=0,"Açık",(E26-D26)*C26-3)</f>
        <v>Açık</v>
      </c>
      <c r="G26" s="15">
        <f>IF(Tablo13489131425[[#This Row],[ALIŞ]]&gt;0,Tablo13489131425[[#This Row],[ADET]]*Tablo13489131425[[#This Row],[ALIŞ]]+1.5,0)</f>
        <v>0</v>
      </c>
      <c r="H26" s="15">
        <f>IF(Tablo13489131425[[#This Row],[SATIŞ]]&gt;0,(Tablo13489131425[[#This Row],[ADET]]*Tablo13489131425[[#This Row],[SATIŞ]]-1.5),0)</f>
        <v>0</v>
      </c>
    </row>
    <row r="27" spans="2:8" ht="21" customHeight="1" x14ac:dyDescent="0.3">
      <c r="B27" s="13"/>
      <c r="D27" s="16"/>
      <c r="E27" s="16"/>
      <c r="F27" s="14" t="str">
        <f>IF(Tablo13489131425[[#This Row],[SATIŞ]]=0,"Açık",(E27-D27)*C27-3)</f>
        <v>Açık</v>
      </c>
      <c r="G27" s="15">
        <f>IF(Tablo13489131425[[#This Row],[ALIŞ]]&gt;0,Tablo13489131425[[#This Row],[ADET]]*Tablo13489131425[[#This Row],[ALIŞ]]+1.5,0)</f>
        <v>0</v>
      </c>
      <c r="H27" s="15">
        <f>IF(Tablo13489131425[[#This Row],[SATIŞ]]&gt;0,(Tablo13489131425[[#This Row],[ADET]]*Tablo13489131425[[#This Row],[SATIŞ]]-1.5),0)</f>
        <v>0</v>
      </c>
    </row>
  </sheetData>
  <conditionalFormatting sqref="B4:E27">
    <cfRule type="expression" dxfId="77" priority="4">
      <formula>$F4&lt;0</formula>
    </cfRule>
    <cfRule type="expression" dxfId="76" priority="5">
      <formula>$F4="Açık"</formula>
    </cfRule>
    <cfRule type="expression" dxfId="75" priority="6">
      <formula>$F4&gt;0</formula>
    </cfRule>
  </conditionalFormatting>
  <conditionalFormatting sqref="F4:F27">
    <cfRule type="expression" dxfId="74" priority="1">
      <formula>$F4&lt;0</formula>
    </cfRule>
    <cfRule type="expression" dxfId="73" priority="2">
      <formula>$F4="Açık"</formula>
    </cfRule>
    <cfRule type="expression" dxfId="72" priority="3">
      <formula>$F4&gt;0</formula>
    </cfRule>
  </conditionalFormatting>
  <hyperlinks>
    <hyperlink ref="B1" location="İcmal!A1" display="ANA SAYFA" xr:uid="{84BF472E-2B1D-4D10-A58B-B49E6201ED2B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D2EA-4BFC-4299-A876-AB3EACF94422}">
  <dimension ref="B1:R33"/>
  <sheetViews>
    <sheetView workbookViewId="0">
      <selection activeCell="E26" sqref="E26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SUMIF(Tablo13426272829303135363738[KAR],"Açık",Tablo13426272829303135363738[ADET])</f>
        <v>1</v>
      </c>
      <c r="D1" s="16">
        <f>+İcmal!E28</f>
        <v>859.64</v>
      </c>
      <c r="E1" s="16">
        <f>C1*D1</f>
        <v>859.64</v>
      </c>
      <c r="F1" s="16">
        <f>IFERROR(((SUM(Tablo13426272829303135363738[ALIŞ TUTAR])-SUM(Tablo13426272829303135363738[SATIŞ TUTAR]))/C1),"")</f>
        <v>-694.43000000000029</v>
      </c>
      <c r="G1" s="3">
        <f>IF(M3=0,L3,C1*(D1-F1))</f>
        <v>1554.0700000000002</v>
      </c>
      <c r="J1" s="4">
        <v>0.02</v>
      </c>
      <c r="L1" s="5">
        <f>M1*(1-$J$1)</f>
        <v>-680.54140000000029</v>
      </c>
      <c r="M1" s="6">
        <f>F1</f>
        <v>-694.43000000000029</v>
      </c>
      <c r="N1" s="5">
        <f>M1*(1+$J$1)</f>
        <v>-708.31860000000029</v>
      </c>
      <c r="P1" s="5">
        <f>Q1*(1-$J$1)</f>
        <v>842.44719999999995</v>
      </c>
      <c r="Q1" s="6">
        <f>+D1</f>
        <v>859.64</v>
      </c>
      <c r="R1" s="5">
        <f>Q1*(1+$J$1)</f>
        <v>876.83280000000002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SUM(Tablo13426272829303135363738[KAR])</f>
        <v>1635.9300000000007</v>
      </c>
      <c r="M3" s="12">
        <f>C1</f>
        <v>1</v>
      </c>
    </row>
    <row r="4" spans="2:18" ht="21" hidden="1" customHeight="1" x14ac:dyDescent="0.3">
      <c r="B4" s="13">
        <v>45328</v>
      </c>
      <c r="C4" s="8">
        <v>1</v>
      </c>
      <c r="D4" s="16">
        <v>688.65</v>
      </c>
      <c r="E4" s="16">
        <v>740</v>
      </c>
      <c r="F4" s="17">
        <f>IF(Tablo13426272829303135363738[[#This Row],[SATIŞ]]=0,"Açık",(E4-D4)*C4-3)</f>
        <v>48.350000000000023</v>
      </c>
      <c r="G4" s="15">
        <f>IF(Tablo13426272829303135363738[[#This Row],[ALIŞ]]&gt;0,Tablo13426272829303135363738[[#This Row],[ADET]]*Tablo13426272829303135363738[[#This Row],[ALIŞ]]+1.5,0)</f>
        <v>690.15</v>
      </c>
      <c r="H4" s="15">
        <f>IF(Tablo13426272829303135363738[[#This Row],[SATIŞ]]&gt;0,(Tablo13426272829303135363738[[#This Row],[ADET]]*Tablo13426272829303135363738[[#This Row],[SATIŞ]]-1.5),0)</f>
        <v>738.5</v>
      </c>
      <c r="L4" s="5"/>
      <c r="M4" s="5"/>
      <c r="N4" s="5"/>
    </row>
    <row r="5" spans="2:18" ht="21" hidden="1" customHeight="1" x14ac:dyDescent="0.3">
      <c r="B5" s="13">
        <v>45328</v>
      </c>
      <c r="C5" s="8">
        <v>2</v>
      </c>
      <c r="D5" s="16">
        <v>688.65</v>
      </c>
      <c r="E5" s="16">
        <v>685</v>
      </c>
      <c r="F5" s="17">
        <f>IF(Tablo13426272829303135363738[[#This Row],[SATIŞ]]=0,"Açık",(E5-D5)*C5-3)</f>
        <v>-10.299999999999955</v>
      </c>
      <c r="G5" s="15">
        <f>IF(Tablo13426272829303135363738[[#This Row],[ALIŞ]]&gt;0,Tablo13426272829303135363738[[#This Row],[ADET]]*Tablo13426272829303135363738[[#This Row],[ALIŞ]]+1.5,0)</f>
        <v>1378.8</v>
      </c>
      <c r="H5" s="15">
        <f>IF(Tablo13426272829303135363738[[#This Row],[SATIŞ]]&gt;0,(Tablo13426272829303135363738[[#This Row],[ADET]]*Tablo13426272829303135363738[[#This Row],[SATIŞ]]-1.5),0)</f>
        <v>1368.5</v>
      </c>
      <c r="L5" s="5"/>
      <c r="M5" s="5"/>
      <c r="N5" s="5"/>
    </row>
    <row r="6" spans="2:18" ht="21" hidden="1" customHeight="1" x14ac:dyDescent="0.3">
      <c r="B6" s="13">
        <v>45328</v>
      </c>
      <c r="C6" s="8">
        <v>2</v>
      </c>
      <c r="D6" s="16">
        <v>688.65</v>
      </c>
      <c r="E6" s="16">
        <v>720</v>
      </c>
      <c r="F6" s="17">
        <f>IF(Tablo13426272829303135363738[[#This Row],[SATIŞ]]=0,"Açık",(E6-D6)*C6-3)</f>
        <v>59.700000000000045</v>
      </c>
      <c r="G6" s="15">
        <f>IF(Tablo13426272829303135363738[[#This Row],[ALIŞ]]&gt;0,Tablo13426272829303135363738[[#This Row],[ADET]]*Tablo13426272829303135363738[[#This Row],[ALIŞ]]+1.5,0)</f>
        <v>1378.8</v>
      </c>
      <c r="H6" s="15">
        <f>IF(Tablo13426272829303135363738[[#This Row],[SATIŞ]]&gt;0,(Tablo13426272829303135363738[[#This Row],[ADET]]*Tablo13426272829303135363738[[#This Row],[SATIŞ]]-1.5),0)</f>
        <v>1438.5</v>
      </c>
    </row>
    <row r="7" spans="2:18" ht="21" hidden="1" customHeight="1" x14ac:dyDescent="0.3">
      <c r="B7" s="13">
        <v>45328</v>
      </c>
      <c r="C7" s="8">
        <v>2</v>
      </c>
      <c r="D7" s="16">
        <v>680</v>
      </c>
      <c r="E7" s="16">
        <v>695</v>
      </c>
      <c r="F7" s="17">
        <f>IF(Tablo13426272829303135363738[[#This Row],[SATIŞ]]=0,"Açık",(E7-D7)*C7-3)</f>
        <v>27</v>
      </c>
      <c r="G7" s="15">
        <f>IF(Tablo13426272829303135363738[[#This Row],[ALIŞ]]&gt;0,Tablo13426272829303135363738[[#This Row],[ADET]]*Tablo13426272829303135363738[[#This Row],[ALIŞ]]+1.5,0)</f>
        <v>1361.5</v>
      </c>
      <c r="H7" s="15">
        <f>IF(Tablo13426272829303135363738[[#This Row],[SATIŞ]]&gt;0,(Tablo13426272829303135363738[[#This Row],[ADET]]*Tablo13426272829303135363738[[#This Row],[SATIŞ]]-1.5),0)</f>
        <v>1388.5</v>
      </c>
    </row>
    <row r="8" spans="2:18" ht="21" hidden="1" customHeight="1" x14ac:dyDescent="0.3">
      <c r="B8" s="13">
        <v>45336</v>
      </c>
      <c r="C8" s="8">
        <v>1</v>
      </c>
      <c r="D8" s="16">
        <v>730</v>
      </c>
      <c r="E8" s="16">
        <v>685</v>
      </c>
      <c r="F8" s="17">
        <f>IF(Tablo13426272829303135363738[[#This Row],[SATIŞ]]=0,"Açık",(E8-D8)*C8-3)</f>
        <v>-48</v>
      </c>
      <c r="G8" s="15">
        <f>IF(Tablo13426272829303135363738[[#This Row],[ALIŞ]]&gt;0,Tablo13426272829303135363738[[#This Row],[ADET]]*Tablo13426272829303135363738[[#This Row],[ALIŞ]]+1.5,0)</f>
        <v>731.5</v>
      </c>
      <c r="H8" s="15">
        <f>IF(Tablo13426272829303135363738[[#This Row],[SATIŞ]]&gt;0,(Tablo13426272829303135363738[[#This Row],[ADET]]*Tablo13426272829303135363738[[#This Row],[SATIŞ]]-1.5),0)</f>
        <v>683.5</v>
      </c>
    </row>
    <row r="9" spans="2:18" ht="21" hidden="1" customHeight="1" x14ac:dyDescent="0.3">
      <c r="B9" s="13">
        <v>45337</v>
      </c>
      <c r="C9" s="8">
        <v>1</v>
      </c>
      <c r="D9" s="16">
        <v>731.25</v>
      </c>
      <c r="E9" s="16">
        <v>685</v>
      </c>
      <c r="F9" s="17">
        <f>IF(Tablo13426272829303135363738[[#This Row],[SATIŞ]]=0,"Açık",(E9-D9)*C9-3)</f>
        <v>-49.25</v>
      </c>
      <c r="G9" s="15">
        <f>IF(Tablo13426272829303135363738[[#This Row],[ALIŞ]]&gt;0,Tablo13426272829303135363738[[#This Row],[ADET]]*Tablo13426272829303135363738[[#This Row],[ALIŞ]]+1.5,0)</f>
        <v>732.75</v>
      </c>
      <c r="H9" s="15">
        <f>IF(Tablo13426272829303135363738[[#This Row],[SATIŞ]]&gt;0,(Tablo13426272829303135363738[[#This Row],[ADET]]*Tablo13426272829303135363738[[#This Row],[SATIŞ]]-1.5),0)</f>
        <v>683.5</v>
      </c>
    </row>
    <row r="10" spans="2:18" ht="21" hidden="1" customHeight="1" x14ac:dyDescent="0.3">
      <c r="B10" s="13">
        <v>45342</v>
      </c>
      <c r="C10" s="8">
        <v>1</v>
      </c>
      <c r="D10" s="16">
        <v>691.15</v>
      </c>
      <c r="E10" s="16">
        <v>685</v>
      </c>
      <c r="F10" s="17">
        <f>IF(Tablo13426272829303135363738[[#This Row],[SATIŞ]]=0,"Açık",(E10-D10)*C10-3)</f>
        <v>-9.1499999999999773</v>
      </c>
      <c r="G10" s="15">
        <f>IF(Tablo13426272829303135363738[[#This Row],[ALIŞ]]&gt;0,Tablo13426272829303135363738[[#This Row],[ADET]]*Tablo13426272829303135363738[[#This Row],[ALIŞ]]+1.5,0)</f>
        <v>692.65</v>
      </c>
      <c r="H10" s="15">
        <f>IF(Tablo13426272829303135363738[[#This Row],[SATIŞ]]&gt;0,(Tablo13426272829303135363738[[#This Row],[ADET]]*Tablo13426272829303135363738[[#This Row],[SATIŞ]]-1.5),0)</f>
        <v>683.5</v>
      </c>
    </row>
    <row r="11" spans="2:18" ht="21" hidden="1" customHeight="1" x14ac:dyDescent="0.3">
      <c r="B11" s="13">
        <v>45342</v>
      </c>
      <c r="C11" s="8">
        <v>5</v>
      </c>
      <c r="D11" s="16">
        <v>680.4</v>
      </c>
      <c r="E11" s="16">
        <v>750.2</v>
      </c>
      <c r="F11" s="17">
        <f>IF(Tablo13426272829303135363738[[#This Row],[SATIŞ]]=0,"Açık",(E11-D11)*C11-3)</f>
        <v>346.00000000000034</v>
      </c>
      <c r="G11" s="15">
        <f>IF(Tablo13426272829303135363738[[#This Row],[ALIŞ]]&gt;0,Tablo13426272829303135363738[[#This Row],[ADET]]*Tablo13426272829303135363738[[#This Row],[ALIŞ]]+1.5,0)</f>
        <v>3403.5</v>
      </c>
      <c r="H11" s="15">
        <f>IF(Tablo13426272829303135363738[[#This Row],[SATIŞ]]&gt;0,(Tablo13426272829303135363738[[#This Row],[ADET]]*Tablo13426272829303135363738[[#This Row],[SATIŞ]]-1.5),0)</f>
        <v>3749.5</v>
      </c>
    </row>
    <row r="12" spans="2:18" ht="21" hidden="1" customHeight="1" x14ac:dyDescent="0.3">
      <c r="B12" s="13">
        <v>45342</v>
      </c>
      <c r="C12" s="8">
        <v>2</v>
      </c>
      <c r="D12" s="16">
        <v>680.4</v>
      </c>
      <c r="E12" s="16">
        <v>818.78</v>
      </c>
      <c r="F12" s="17">
        <f>IF(Tablo13426272829303135363738[[#This Row],[SATIŞ]]=0,"Açık",(E12-D12)*C12-3)</f>
        <v>273.76</v>
      </c>
      <c r="G12" s="15">
        <f>IF(Tablo13426272829303135363738[[#This Row],[ALIŞ]]&gt;0,Tablo13426272829303135363738[[#This Row],[ADET]]*Tablo13426272829303135363738[[#This Row],[ALIŞ]]+1.5,0)</f>
        <v>1362.3</v>
      </c>
      <c r="H12" s="15">
        <f>IF(Tablo13426272829303135363738[[#This Row],[SATIŞ]]&gt;0,(Tablo13426272829303135363738[[#This Row],[ADET]]*Tablo13426272829303135363738[[#This Row],[SATIŞ]]-1.5),0)</f>
        <v>1636.06</v>
      </c>
    </row>
    <row r="13" spans="2:18" ht="21" hidden="1" customHeight="1" x14ac:dyDescent="0.3">
      <c r="B13" s="13">
        <v>45343</v>
      </c>
      <c r="C13" s="8">
        <v>5</v>
      </c>
      <c r="D13" s="16">
        <v>675</v>
      </c>
      <c r="E13" s="16">
        <v>690</v>
      </c>
      <c r="F13" s="17">
        <f>IF(Tablo13426272829303135363738[[#This Row],[SATIŞ]]=0,"Açık",(E13-D13)*C13-3)</f>
        <v>72</v>
      </c>
      <c r="G13" s="15">
        <f>IF(Tablo13426272829303135363738[[#This Row],[ALIŞ]]&gt;0,Tablo13426272829303135363738[[#This Row],[ADET]]*Tablo13426272829303135363738[[#This Row],[ALIŞ]]+1.5,0)</f>
        <v>3376.5</v>
      </c>
      <c r="H13" s="15">
        <f>IF(Tablo13426272829303135363738[[#This Row],[SATIŞ]]&gt;0,(Tablo13426272829303135363738[[#This Row],[ADET]]*Tablo13426272829303135363738[[#This Row],[SATIŞ]]-1.5),0)</f>
        <v>3448.5</v>
      </c>
      <c r="J13">
        <f>+Tablo13426272829303135363738[[#This Row],[ALIŞ]]*1.02</f>
        <v>688.5</v>
      </c>
    </row>
    <row r="14" spans="2:18" ht="21" hidden="1" customHeight="1" x14ac:dyDescent="0.3">
      <c r="B14" s="13">
        <v>45343</v>
      </c>
      <c r="C14" s="8">
        <v>5</v>
      </c>
      <c r="D14" s="16">
        <v>685.9</v>
      </c>
      <c r="E14" s="16">
        <v>690</v>
      </c>
      <c r="F14" s="17">
        <f>IF(Tablo13426272829303135363738[[#This Row],[SATIŞ]]=0,"Açık",(E14-D14)*C14-3)</f>
        <v>17.500000000000114</v>
      </c>
      <c r="G14" s="15">
        <f>IF(Tablo13426272829303135363738[[#This Row],[ALIŞ]]&gt;0,Tablo13426272829303135363738[[#This Row],[ADET]]*Tablo13426272829303135363738[[#This Row],[ALIŞ]]+1.5,0)</f>
        <v>3431</v>
      </c>
      <c r="H14" s="15">
        <f>IF(Tablo13426272829303135363738[[#This Row],[SATIŞ]]&gt;0,(Tablo13426272829303135363738[[#This Row],[ADET]]*Tablo13426272829303135363738[[#This Row],[SATIŞ]]-1.5),0)</f>
        <v>3448.5</v>
      </c>
    </row>
    <row r="15" spans="2:18" ht="21" hidden="1" customHeight="1" x14ac:dyDescent="0.3">
      <c r="B15" s="13">
        <v>45342</v>
      </c>
      <c r="C15" s="8">
        <v>1</v>
      </c>
      <c r="D15" s="16">
        <v>680.4</v>
      </c>
      <c r="E15" s="16">
        <v>850</v>
      </c>
      <c r="F15" s="17">
        <f>IF(Tablo13426272829303135363738[[#This Row],[SATIŞ]]=0,"Açık",(E15-D15)*C15-3)</f>
        <v>166.60000000000002</v>
      </c>
      <c r="G15" s="15">
        <f>IF(Tablo13426272829303135363738[[#This Row],[ALIŞ]]&gt;0,Tablo13426272829303135363738[[#This Row],[ADET]]*Tablo13426272829303135363738[[#This Row],[ALIŞ]]+1.5,0)</f>
        <v>681.9</v>
      </c>
      <c r="H15" s="15">
        <f>IF(Tablo13426272829303135363738[[#This Row],[SATIŞ]]&gt;0,(Tablo13426272829303135363738[[#This Row],[ADET]]*Tablo13426272829303135363738[[#This Row],[SATIŞ]]-1.5),0)</f>
        <v>848.5</v>
      </c>
    </row>
    <row r="16" spans="2:18" ht="21" hidden="1" customHeight="1" x14ac:dyDescent="0.3">
      <c r="B16" s="13">
        <v>45342</v>
      </c>
      <c r="C16" s="8">
        <v>1</v>
      </c>
      <c r="D16" s="16">
        <v>680.4</v>
      </c>
      <c r="E16" s="16">
        <v>870</v>
      </c>
      <c r="F16" s="17">
        <f>IF(Tablo13426272829303135363738[[#This Row],[SATIŞ]]=0,"Açık",(E16-D16)*C16-3)</f>
        <v>186.60000000000002</v>
      </c>
      <c r="G16" s="15">
        <f>IF(Tablo13426272829303135363738[[#This Row],[ALIŞ]]&gt;0,Tablo13426272829303135363738[[#This Row],[ADET]]*Tablo13426272829303135363738[[#This Row],[ALIŞ]]+1.5,0)</f>
        <v>681.9</v>
      </c>
      <c r="H16" s="15">
        <f>IF(Tablo13426272829303135363738[[#This Row],[SATIŞ]]&gt;0,(Tablo13426272829303135363738[[#This Row],[ADET]]*Tablo13426272829303135363738[[#This Row],[SATIŞ]]-1.5),0)</f>
        <v>868.5</v>
      </c>
    </row>
    <row r="17" spans="2:8" ht="21" hidden="1" customHeight="1" x14ac:dyDescent="0.3">
      <c r="B17" s="13">
        <v>45342</v>
      </c>
      <c r="C17" s="8">
        <v>1</v>
      </c>
      <c r="D17" s="16">
        <v>680.4</v>
      </c>
      <c r="E17" s="16">
        <v>820</v>
      </c>
      <c r="F17" s="17">
        <f>IF(Tablo13426272829303135363738[[#This Row],[SATIŞ]]=0,"Açık",(E17-D17)*C17-3)</f>
        <v>136.60000000000002</v>
      </c>
      <c r="G17" s="15">
        <f>IF(Tablo13426272829303135363738[[#This Row],[ALIŞ]]&gt;0,Tablo13426272829303135363738[[#This Row],[ADET]]*Tablo13426272829303135363738[[#This Row],[ALIŞ]]+1.5,0)</f>
        <v>681.9</v>
      </c>
      <c r="H17" s="15">
        <f>IF(Tablo13426272829303135363738[[#This Row],[SATIŞ]]&gt;0,(Tablo13426272829303135363738[[#This Row],[ADET]]*Tablo13426272829303135363738[[#This Row],[SATIŞ]]-1.5),0)</f>
        <v>818.5</v>
      </c>
    </row>
    <row r="18" spans="2:8" ht="21" hidden="1" customHeight="1" x14ac:dyDescent="0.3">
      <c r="B18" s="13">
        <v>45349</v>
      </c>
      <c r="C18" s="8">
        <v>1</v>
      </c>
      <c r="D18" s="16">
        <v>780</v>
      </c>
      <c r="E18" s="16">
        <v>810</v>
      </c>
      <c r="F18" s="17">
        <f>IF(Tablo13426272829303135363738[[#This Row],[SATIŞ]]=0,"Açık",(E18-D18)*C18-3)</f>
        <v>27</v>
      </c>
      <c r="G18" s="15">
        <f>IF(Tablo13426272829303135363738[[#This Row],[ALIŞ]]&gt;0,Tablo13426272829303135363738[[#This Row],[ADET]]*Tablo13426272829303135363738[[#This Row],[ALIŞ]]+1.5,0)</f>
        <v>781.5</v>
      </c>
      <c r="H18" s="15">
        <f>IF(Tablo13426272829303135363738[[#This Row],[SATIŞ]]&gt;0,(Tablo13426272829303135363738[[#This Row],[ADET]]*Tablo13426272829303135363738[[#This Row],[SATIŞ]]-1.5),0)</f>
        <v>808.5</v>
      </c>
    </row>
    <row r="19" spans="2:8" ht="21" hidden="1" customHeight="1" x14ac:dyDescent="0.3">
      <c r="B19" s="13">
        <v>45350</v>
      </c>
      <c r="C19" s="8">
        <v>1</v>
      </c>
      <c r="D19" s="16">
        <v>770</v>
      </c>
      <c r="E19" s="16">
        <v>790</v>
      </c>
      <c r="F19" s="17">
        <f>IF(Tablo13426272829303135363738[[#This Row],[SATIŞ]]=0,"Açık",(E19-D19)*C19-3)</f>
        <v>17</v>
      </c>
      <c r="G19" s="15">
        <f>IF(Tablo13426272829303135363738[[#This Row],[ALIŞ]]&gt;0,Tablo13426272829303135363738[[#This Row],[ADET]]*Tablo13426272829303135363738[[#This Row],[ALIŞ]]+1.5,0)</f>
        <v>771.5</v>
      </c>
      <c r="H19" s="15">
        <f>IF(Tablo13426272829303135363738[[#This Row],[SATIŞ]]&gt;0,(Tablo13426272829303135363738[[#This Row],[ADET]]*Tablo13426272829303135363738[[#This Row],[SATIŞ]]-1.5),0)</f>
        <v>788.5</v>
      </c>
    </row>
    <row r="20" spans="2:8" ht="21" customHeight="1" x14ac:dyDescent="0.3">
      <c r="B20" s="13">
        <v>45355</v>
      </c>
      <c r="C20" s="8">
        <v>1</v>
      </c>
      <c r="D20" s="16">
        <v>865</v>
      </c>
      <c r="E20" s="16">
        <v>960</v>
      </c>
      <c r="F20" s="17">
        <f>IF(Tablo13426272829303135363738[[#This Row],[SATIŞ]]=0,"Açık",(E20-D20)*C20-3)</f>
        <v>92</v>
      </c>
      <c r="G20" s="15">
        <f>IF(Tablo13426272829303135363738[[#This Row],[ALIŞ]]&gt;0,Tablo13426272829303135363738[[#This Row],[ADET]]*Tablo13426272829303135363738[[#This Row],[ALIŞ]]+1.5,0)</f>
        <v>866.5</v>
      </c>
      <c r="H20" s="15">
        <f>IF(Tablo13426272829303135363738[[#This Row],[SATIŞ]]&gt;0,(Tablo13426272829303135363738[[#This Row],[ADET]]*Tablo13426272829303135363738[[#This Row],[SATIŞ]]-1.5),0)</f>
        <v>958.5</v>
      </c>
    </row>
    <row r="21" spans="2:8" ht="21" hidden="1" customHeight="1" x14ac:dyDescent="0.3">
      <c r="B21" s="13">
        <v>45356</v>
      </c>
      <c r="C21" s="8">
        <v>1</v>
      </c>
      <c r="D21" s="16">
        <v>855</v>
      </c>
      <c r="E21" s="16">
        <v>865</v>
      </c>
      <c r="F21" s="17">
        <f>IF(Tablo13426272829303135363738[[#This Row],[SATIŞ]]=0,"Açık",(E21-D21)*C21-3)</f>
        <v>7</v>
      </c>
      <c r="G21" s="15">
        <f>IF(Tablo13426272829303135363738[[#This Row],[ALIŞ]]&gt;0,Tablo13426272829303135363738[[#This Row],[ADET]]*Tablo13426272829303135363738[[#This Row],[ALIŞ]]+1.5,0)</f>
        <v>856.5</v>
      </c>
      <c r="H21" s="15">
        <f>IF(Tablo13426272829303135363738[[#This Row],[SATIŞ]]&gt;0,(Tablo13426272829303135363738[[#This Row],[ADET]]*Tablo13426272829303135363738[[#This Row],[SATIŞ]]-1.5),0)</f>
        <v>863.5</v>
      </c>
    </row>
    <row r="22" spans="2:8" ht="21" hidden="1" customHeight="1" x14ac:dyDescent="0.3">
      <c r="B22" s="13">
        <v>45356</v>
      </c>
      <c r="C22" s="8">
        <v>1</v>
      </c>
      <c r="D22" s="16">
        <v>850</v>
      </c>
      <c r="E22" s="16">
        <v>860</v>
      </c>
      <c r="F22" s="17">
        <f>IF(Tablo13426272829303135363738[[#This Row],[SATIŞ]]=0,"Açık",(E22-D22)*C22-3)</f>
        <v>7</v>
      </c>
      <c r="G22" s="15">
        <f>IF(Tablo13426272829303135363738[[#This Row],[ALIŞ]]&gt;0,Tablo13426272829303135363738[[#This Row],[ADET]]*Tablo13426272829303135363738[[#This Row],[ALIŞ]]+1.5,0)</f>
        <v>851.5</v>
      </c>
      <c r="H22" s="15">
        <f>IF(Tablo13426272829303135363738[[#This Row],[SATIŞ]]&gt;0,(Tablo13426272829303135363738[[#This Row],[ADET]]*Tablo13426272829303135363738[[#This Row],[SATIŞ]]-1.5),0)</f>
        <v>858.5</v>
      </c>
    </row>
    <row r="23" spans="2:8" ht="21" hidden="1" customHeight="1" x14ac:dyDescent="0.3">
      <c r="B23" s="13">
        <v>45356</v>
      </c>
      <c r="C23" s="8">
        <v>1</v>
      </c>
      <c r="D23" s="16">
        <v>850</v>
      </c>
      <c r="E23" s="16">
        <v>860</v>
      </c>
      <c r="F23" s="17">
        <f>IF(Tablo13426272829303135363738[[#This Row],[SATIŞ]]=0,"Açık",(E23-D23)*C23-3)</f>
        <v>7</v>
      </c>
      <c r="G23" s="15">
        <f>IF(Tablo13426272829303135363738[[#This Row],[ALIŞ]]&gt;0,Tablo13426272829303135363738[[#This Row],[ADET]]*Tablo13426272829303135363738[[#This Row],[ALIŞ]]+1.5,0)</f>
        <v>851.5</v>
      </c>
      <c r="H23" s="15">
        <f>IF(Tablo13426272829303135363738[[#This Row],[SATIŞ]]&gt;0,(Tablo13426272829303135363738[[#This Row],[ADET]]*Tablo13426272829303135363738[[#This Row],[SATIŞ]]-1.5),0)</f>
        <v>858.5</v>
      </c>
    </row>
    <row r="24" spans="2:8" ht="21" hidden="1" customHeight="1" x14ac:dyDescent="0.3">
      <c r="B24" s="13">
        <v>45356</v>
      </c>
      <c r="C24" s="8">
        <v>1</v>
      </c>
      <c r="D24" s="16">
        <v>845</v>
      </c>
      <c r="E24" s="16">
        <v>850</v>
      </c>
      <c r="F24" s="17">
        <f>IF(Tablo13426272829303135363738[[#This Row],[SATIŞ]]=0,"Açık",(E24-D24)*C24-3)</f>
        <v>2</v>
      </c>
      <c r="G24" s="15">
        <f>IF(Tablo13426272829303135363738[[#This Row],[ALIŞ]]&gt;0,Tablo13426272829303135363738[[#This Row],[ADET]]*Tablo13426272829303135363738[[#This Row],[ALIŞ]]+1.5,0)</f>
        <v>846.5</v>
      </c>
      <c r="H24" s="15">
        <f>IF(Tablo13426272829303135363738[[#This Row],[SATIŞ]]&gt;0,(Tablo13426272829303135363738[[#This Row],[ADET]]*Tablo13426272829303135363738[[#This Row],[SATIŞ]]-1.5),0)</f>
        <v>848.5</v>
      </c>
    </row>
    <row r="25" spans="2:8" ht="21" customHeight="1" x14ac:dyDescent="0.3">
      <c r="B25" s="13">
        <v>45355</v>
      </c>
      <c r="C25" s="8">
        <v>1</v>
      </c>
      <c r="D25" s="16">
        <v>865</v>
      </c>
      <c r="E25" s="16">
        <v>947.52</v>
      </c>
      <c r="F25" s="17">
        <f>IF(Tablo13426272829303135363738[[#This Row],[SATIŞ]]=0,"Açık",(E25-D25)*C25-3)</f>
        <v>79.519999999999982</v>
      </c>
      <c r="G25" s="15">
        <f>IF(Tablo13426272829303135363738[[#This Row],[ALIŞ]]&gt;0,Tablo13426272829303135363738[[#This Row],[ADET]]*Tablo13426272829303135363738[[#This Row],[ALIŞ]]+1.5,0)</f>
        <v>866.5</v>
      </c>
      <c r="H25" s="15">
        <f>IF(Tablo13426272829303135363738[[#This Row],[SATIŞ]]&gt;0,(Tablo13426272829303135363738[[#This Row],[ADET]]*Tablo13426272829303135363738[[#This Row],[SATIŞ]]-1.5),0)</f>
        <v>946.02</v>
      </c>
    </row>
    <row r="26" spans="2:8" ht="21" customHeight="1" x14ac:dyDescent="0.3">
      <c r="B26" s="13">
        <v>45356</v>
      </c>
      <c r="C26" s="8">
        <v>1</v>
      </c>
      <c r="D26" s="16">
        <v>840</v>
      </c>
      <c r="E26" s="16">
        <v>880</v>
      </c>
      <c r="F26" s="17">
        <f>IF(Tablo13426272829303135363738[[#This Row],[SATIŞ]]=0,"Açık",(E26-D26)*C26-3)</f>
        <v>37</v>
      </c>
      <c r="G26" s="15">
        <f>IF(Tablo13426272829303135363738[[#This Row],[ALIŞ]]&gt;0,Tablo13426272829303135363738[[#This Row],[ADET]]*Tablo13426272829303135363738[[#This Row],[ALIŞ]]+1.5,0)</f>
        <v>841.5</v>
      </c>
      <c r="H26" s="15">
        <f>IF(Tablo13426272829303135363738[[#This Row],[SATIŞ]]&gt;0,(Tablo13426272829303135363738[[#This Row],[ADET]]*Tablo13426272829303135363738[[#This Row],[SATIŞ]]-1.5),0)</f>
        <v>878.5</v>
      </c>
    </row>
    <row r="27" spans="2:8" ht="21" customHeight="1" x14ac:dyDescent="0.3">
      <c r="B27" s="13">
        <v>45356</v>
      </c>
      <c r="C27" s="8">
        <v>1</v>
      </c>
      <c r="D27" s="16">
        <v>840</v>
      </c>
      <c r="E27" s="16">
        <v>910</v>
      </c>
      <c r="F27" s="17">
        <f>IF(Tablo13426272829303135363738[[#This Row],[SATIŞ]]=0,"Açık",(E27-D27)*C27-3)</f>
        <v>67</v>
      </c>
      <c r="G27" s="15">
        <f>IF(Tablo13426272829303135363738[[#This Row],[ALIŞ]]&gt;0,Tablo13426272829303135363738[[#This Row],[ADET]]*Tablo13426272829303135363738[[#This Row],[ALIŞ]]+1.5,0)</f>
        <v>841.5</v>
      </c>
      <c r="H27" s="15">
        <f>IF(Tablo13426272829303135363738[[#This Row],[SATIŞ]]&gt;0,(Tablo13426272829303135363738[[#This Row],[ADET]]*Tablo13426272829303135363738[[#This Row],[SATIŞ]]-1.5),0)</f>
        <v>908.5</v>
      </c>
    </row>
    <row r="28" spans="2:8" ht="21" customHeight="1" x14ac:dyDescent="0.3">
      <c r="B28" s="13">
        <v>45356</v>
      </c>
      <c r="C28" s="8">
        <v>1</v>
      </c>
      <c r="D28" s="16">
        <v>850</v>
      </c>
      <c r="E28" s="16">
        <v>860</v>
      </c>
      <c r="F28" s="17">
        <f>IF(Tablo13426272829303135363738[[#This Row],[SATIŞ]]=0,"Açık",(E28-D28)*C28-3)</f>
        <v>7</v>
      </c>
      <c r="G28" s="15">
        <f>IF(Tablo13426272829303135363738[[#This Row],[ALIŞ]]&gt;0,Tablo13426272829303135363738[[#This Row],[ADET]]*Tablo13426272829303135363738[[#This Row],[ALIŞ]]+1.5,0)</f>
        <v>851.5</v>
      </c>
      <c r="H28" s="15">
        <f>IF(Tablo13426272829303135363738[[#This Row],[SATIŞ]]&gt;0,(Tablo13426272829303135363738[[#This Row],[ADET]]*Tablo13426272829303135363738[[#This Row],[SATIŞ]]-1.5),0)</f>
        <v>858.5</v>
      </c>
    </row>
    <row r="29" spans="2:8" ht="21" customHeight="1" x14ac:dyDescent="0.3">
      <c r="B29" s="13">
        <v>45356</v>
      </c>
      <c r="C29" s="8">
        <v>1</v>
      </c>
      <c r="D29" s="16">
        <v>860</v>
      </c>
      <c r="E29" s="16">
        <v>930</v>
      </c>
      <c r="F29" s="17">
        <f>IF(Tablo13426272829303135363738[[#This Row],[SATIŞ]]=0,"Açık",(E29-D29)*C29-3)</f>
        <v>67</v>
      </c>
      <c r="G29" s="15">
        <f>IF(Tablo13426272829303135363738[[#This Row],[ALIŞ]]&gt;0,Tablo13426272829303135363738[[#This Row],[ADET]]*Tablo13426272829303135363738[[#This Row],[ALIŞ]]+1.5,0)</f>
        <v>861.5</v>
      </c>
      <c r="H29" s="15">
        <f>IF(Tablo13426272829303135363738[[#This Row],[SATIŞ]]&gt;0,(Tablo13426272829303135363738[[#This Row],[ADET]]*Tablo13426272829303135363738[[#This Row],[SATIŞ]]-1.5),0)</f>
        <v>928.5</v>
      </c>
    </row>
    <row r="30" spans="2:8" ht="21" customHeight="1" x14ac:dyDescent="0.3">
      <c r="B30" s="13">
        <v>45356</v>
      </c>
      <c r="C30" s="8">
        <v>1</v>
      </c>
      <c r="D30" s="16">
        <v>850</v>
      </c>
      <c r="E30" s="16">
        <v>855</v>
      </c>
      <c r="F30" s="17">
        <f>IF(Tablo13426272829303135363738[[#This Row],[SATIŞ]]=0,"Açık",(E30-D30)*C30-3)</f>
        <v>2</v>
      </c>
      <c r="G30" s="15">
        <f>IF(Tablo13426272829303135363738[[#This Row],[ALIŞ]]&gt;0,Tablo13426272829303135363738[[#This Row],[ADET]]*Tablo13426272829303135363738[[#This Row],[ALIŞ]]+1.5,0)</f>
        <v>851.5</v>
      </c>
      <c r="H30" s="15">
        <f>IF(Tablo13426272829303135363738[[#This Row],[SATIŞ]]&gt;0,(Tablo13426272829303135363738[[#This Row],[ADET]]*Tablo13426272829303135363738[[#This Row],[SATIŞ]]-1.5),0)</f>
        <v>853.5</v>
      </c>
    </row>
    <row r="31" spans="2:8" ht="21" customHeight="1" x14ac:dyDescent="0.3">
      <c r="B31" s="13">
        <v>45359</v>
      </c>
      <c r="C31" s="8">
        <v>1</v>
      </c>
      <c r="D31" s="16">
        <v>940</v>
      </c>
      <c r="F31" s="17" t="str">
        <f>IF(Tablo13426272829303135363738[[#This Row],[SATIŞ]]=0,"Açık",(E31-D31)*C31-3)</f>
        <v>Açık</v>
      </c>
      <c r="G31" s="15">
        <f>IF(Tablo13426272829303135363738[[#This Row],[ALIŞ]]&gt;0,Tablo13426272829303135363738[[#This Row],[ADET]]*Tablo13426272829303135363738[[#This Row],[ALIŞ]]+1.5,0)</f>
        <v>941.5</v>
      </c>
      <c r="H31" s="15">
        <f>IF(Tablo13426272829303135363738[[#This Row],[SATIŞ]]&gt;0,(Tablo13426272829303135363738[[#This Row],[ADET]]*Tablo13426272829303135363738[[#This Row],[SATIŞ]]-1.5),0)</f>
        <v>0</v>
      </c>
    </row>
    <row r="32" spans="2:8" ht="21" customHeight="1" x14ac:dyDescent="0.3">
      <c r="B32" s="13"/>
      <c r="F32" s="17" t="str">
        <f>IF(Tablo13426272829303135363738[[#This Row],[SATIŞ]]=0,"Açık",(E32-D32)*C32-3)</f>
        <v>Açık</v>
      </c>
      <c r="G32" s="15">
        <f>IF(Tablo13426272829303135363738[[#This Row],[ALIŞ]]&gt;0,Tablo13426272829303135363738[[#This Row],[ADET]]*Tablo13426272829303135363738[[#This Row],[ALIŞ]]+1.5,0)</f>
        <v>0</v>
      </c>
      <c r="H32" s="15">
        <f>IF(Tablo13426272829303135363738[[#This Row],[SATIŞ]]&gt;0,(Tablo13426272829303135363738[[#This Row],[ADET]]*Tablo13426272829303135363738[[#This Row],[SATIŞ]]-1.5),0)</f>
        <v>0</v>
      </c>
    </row>
    <row r="33" spans="2:8" ht="21" customHeight="1" x14ac:dyDescent="0.3">
      <c r="B33" s="13"/>
      <c r="F33" s="17" t="str">
        <f>IF(Tablo13426272829303135363738[[#This Row],[SATIŞ]]=0,"Açık",(E33-D33)*C33-3)</f>
        <v>Açık</v>
      </c>
      <c r="G33" s="15">
        <f>IF(Tablo13426272829303135363738[[#This Row],[ALIŞ]]&gt;0,Tablo13426272829303135363738[[#This Row],[ADET]]*Tablo13426272829303135363738[[#This Row],[ALIŞ]]+1.5,0)</f>
        <v>0</v>
      </c>
      <c r="H33" s="15">
        <f>IF(Tablo13426272829303135363738[[#This Row],[SATIŞ]]&gt;0,(Tablo13426272829303135363738[[#This Row],[ADET]]*Tablo13426272829303135363738[[#This Row],[SATIŞ]]-1.5),0)</f>
        <v>0</v>
      </c>
    </row>
  </sheetData>
  <conditionalFormatting sqref="B4:E5 B6:F33">
    <cfRule type="expression" dxfId="71" priority="4">
      <formula>$F4&lt;0</formula>
    </cfRule>
    <cfRule type="expression" dxfId="70" priority="5">
      <formula>$F4="Açık"</formula>
    </cfRule>
    <cfRule type="expression" dxfId="69" priority="6">
      <formula>$F4&gt;0</formula>
    </cfRule>
  </conditionalFormatting>
  <conditionalFormatting sqref="F4:F5">
    <cfRule type="expression" dxfId="68" priority="1">
      <formula>$F4&lt;0</formula>
    </cfRule>
    <cfRule type="expression" dxfId="67" priority="2">
      <formula>$F4="Açık"</formula>
    </cfRule>
    <cfRule type="expression" dxfId="66" priority="3">
      <formula>$F4&gt;0</formula>
    </cfRule>
  </conditionalFormatting>
  <hyperlinks>
    <hyperlink ref="B1" location="İcmal!A1" display="ANA SAYFA" xr:uid="{208FBE3B-4F18-48BE-8A8D-850BC5BCEFD0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EEA4-927E-421E-84DE-807031116B6D}">
  <dimension ref="B1:R27"/>
  <sheetViews>
    <sheetView workbookViewId="0">
      <selection activeCell="F5" sqref="F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SUMIF(Tablo1347[KAR],"Açık",Tablo1347[ADET])</f>
        <v>0</v>
      </c>
      <c r="D1" s="3"/>
      <c r="E1" s="3">
        <f>C1*D1</f>
        <v>0</v>
      </c>
      <c r="F1" s="3" t="str">
        <f>IFERROR(((SUM(Tablo1347[ALIŞ TUTAR])-SUM(Tablo1347[SATIŞ TUTAR]))/C1),"")</f>
        <v/>
      </c>
      <c r="G1" s="3">
        <f>IF(M3=0,L3,C1*(D1-F1))</f>
        <v>16.530000000000015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SUM(Tablo1347[KAR])</f>
        <v>16.530000000000015</v>
      </c>
      <c r="M3" s="12">
        <f>C1</f>
        <v>0</v>
      </c>
    </row>
    <row r="4" spans="2:18" ht="21" customHeight="1" x14ac:dyDescent="0.3">
      <c r="B4" s="13">
        <v>44739</v>
      </c>
      <c r="C4" s="8">
        <v>9</v>
      </c>
      <c r="D4" s="3">
        <v>69.33</v>
      </c>
      <c r="E4" s="3">
        <v>71.5</v>
      </c>
      <c r="F4" s="14">
        <f>IF(Tablo1347[[#This Row],[SATIŞ]]=0,"Açık",(E4-D4)*C4-3)</f>
        <v>16.530000000000015</v>
      </c>
      <c r="G4" s="15">
        <f>IF(Tablo1347[[#This Row],[ALIŞ]]&gt;0,Tablo1347[[#This Row],[ADET]]*Tablo1347[[#This Row],[ALIŞ]]+1.5,0)</f>
        <v>625.47</v>
      </c>
      <c r="H4" s="15">
        <f>IF(Tablo1347[[#This Row],[SATIŞ]]&gt;0,(Tablo1347[[#This Row],[ADET]]*Tablo1347[[#This Row],[SATIŞ]]-1.5),0)</f>
        <v>642</v>
      </c>
      <c r="L4" s="5"/>
      <c r="M4" s="5"/>
      <c r="N4" s="5"/>
    </row>
    <row r="5" spans="2:18" ht="21" customHeight="1" x14ac:dyDescent="0.3">
      <c r="B5" s="13"/>
      <c r="D5" s="3"/>
      <c r="E5" s="3"/>
      <c r="F5" s="14" t="str">
        <f>IF(Tablo1347[[#This Row],[SATIŞ]]=0,"Açık",(E5-D5)*C5-3)</f>
        <v>Açık</v>
      </c>
      <c r="G5" s="15">
        <f>IF(Tablo1347[[#This Row],[ALIŞ]]&gt;0,Tablo1347[[#This Row],[ADET]]*Tablo1347[[#This Row],[ALIŞ]]+1.5,0)</f>
        <v>0</v>
      </c>
      <c r="H5" s="15">
        <f>IF(Tablo1347[[#This Row],[SATIŞ]]&gt;0,(Tablo1347[[#This Row],[ADET]]*Tablo1347[[#This Row],[SATIŞ]]-1.5),0)</f>
        <v>0</v>
      </c>
    </row>
    <row r="6" spans="2:18" ht="21" customHeight="1" x14ac:dyDescent="0.3">
      <c r="B6" s="13"/>
      <c r="D6" s="3"/>
      <c r="E6" s="3"/>
      <c r="F6" s="14" t="str">
        <f>IF(Tablo1347[[#This Row],[SATIŞ]]=0,"Açık",(E6-D6)*C6-3)</f>
        <v>Açık</v>
      </c>
      <c r="G6" s="15">
        <f>IF(Tablo1347[[#This Row],[ALIŞ]]&gt;0,Tablo1347[[#This Row],[ADET]]*Tablo1347[[#This Row],[ALIŞ]]+1.5,0)</f>
        <v>0</v>
      </c>
      <c r="H6" s="15">
        <f>IF(Tablo1347[[#This Row],[SATIŞ]]&gt;0,(Tablo1347[[#This Row],[ADET]]*Tablo1347[[#This Row],[SATIŞ]]-1.5),0)</f>
        <v>0</v>
      </c>
    </row>
    <row r="7" spans="2:18" ht="21" customHeight="1" x14ac:dyDescent="0.3">
      <c r="B7" s="13"/>
      <c r="D7" s="3"/>
      <c r="E7" s="3"/>
      <c r="F7" s="14" t="str">
        <f>IF(Tablo1347[[#This Row],[SATIŞ]]=0,"Açık",(E7-D7)*C7-3)</f>
        <v>Açık</v>
      </c>
      <c r="G7" s="15">
        <f>IF(Tablo1347[[#This Row],[ALIŞ]]&gt;0,Tablo1347[[#This Row],[ADET]]*Tablo1347[[#This Row],[ALIŞ]]+1.5,0)</f>
        <v>0</v>
      </c>
      <c r="H7" s="15">
        <f>IF(Tablo1347[[#This Row],[SATIŞ]]&gt;0,(Tablo1347[[#This Row],[ADET]]*Tablo1347[[#This Row],[SATIŞ]]-1.5),0)</f>
        <v>0</v>
      </c>
    </row>
    <row r="8" spans="2:18" ht="21" customHeight="1" x14ac:dyDescent="0.3">
      <c r="B8" s="13"/>
      <c r="D8" s="3"/>
      <c r="E8" s="3"/>
      <c r="F8" s="14" t="str">
        <f>IF(Tablo1347[[#This Row],[SATIŞ]]=0,"Açık",(E8-D8)*C8-3)</f>
        <v>Açık</v>
      </c>
      <c r="G8" s="15">
        <f>IF(Tablo1347[[#This Row],[ALIŞ]]&gt;0,Tablo1347[[#This Row],[ADET]]*Tablo1347[[#This Row],[ALIŞ]]+1.5,0)</f>
        <v>0</v>
      </c>
      <c r="H8" s="15">
        <f>IF(Tablo1347[[#This Row],[SATIŞ]]&gt;0,(Tablo1347[[#This Row],[ADET]]*Tablo1347[[#This Row],[SATIŞ]]-1.5),0)</f>
        <v>0</v>
      </c>
    </row>
    <row r="9" spans="2:18" ht="21" customHeight="1" x14ac:dyDescent="0.3">
      <c r="B9" s="13"/>
      <c r="D9" s="3"/>
      <c r="E9" s="3"/>
      <c r="F9" s="14" t="str">
        <f>IF(Tablo1347[[#This Row],[SATIŞ]]=0,"Açık",(E9-D9)*C9-3)</f>
        <v>Açık</v>
      </c>
      <c r="G9" s="15">
        <f>IF(Tablo1347[[#This Row],[ALIŞ]]&gt;0,Tablo1347[[#This Row],[ADET]]*Tablo1347[[#This Row],[ALIŞ]]+1.5,0)</f>
        <v>0</v>
      </c>
      <c r="H9" s="15">
        <f>IF(Tablo1347[[#This Row],[SATIŞ]]&gt;0,(Tablo1347[[#This Row],[ADET]]*Tablo1347[[#This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IF(Tablo1347[[#This Row],[SATIŞ]]=0,"Açık",(E10-D10)*C10-3)</f>
        <v>Açık</v>
      </c>
      <c r="G10" s="15">
        <f>IF(Tablo1347[[#This Row],[ALIŞ]]&gt;0,Tablo1347[[#This Row],[ADET]]*Tablo1347[[#This Row],[ALIŞ]]+1.5,0)</f>
        <v>0</v>
      </c>
      <c r="H10" s="15">
        <f>IF(Tablo1347[[#This Row],[SATIŞ]]&gt;0,(Tablo1347[[#This Row],[ADET]]*Tablo1347[[#This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IF(Tablo1347[[#This Row],[SATIŞ]]=0,"Açık",(E11-D11)*C11-3)</f>
        <v>Açık</v>
      </c>
      <c r="G11" s="15">
        <f>IF(Tablo1347[[#This Row],[ALIŞ]]&gt;0,Tablo1347[[#This Row],[ADET]]*Tablo1347[[#This Row],[ALIŞ]]+1.5,0)</f>
        <v>0</v>
      </c>
      <c r="H11" s="15">
        <f>IF(Tablo1347[[#This Row],[SATIŞ]]&gt;0,(Tablo1347[[#This Row],[ADET]]*Tablo1347[[#This Row],[SATIŞ]]-1.5),0)</f>
        <v>0</v>
      </c>
      <c r="J11">
        <f>+Tablo1347[[#This Row],[ALIŞ]]*1.02</f>
        <v>0</v>
      </c>
    </row>
    <row r="12" spans="2:18" ht="21" customHeight="1" x14ac:dyDescent="0.3">
      <c r="B12" s="13"/>
      <c r="D12" s="3"/>
      <c r="E12" s="3"/>
      <c r="F12" s="14" t="str">
        <f>IF(Tablo1347[[#This Row],[SATIŞ]]=0,"Açık",(E12-D12)*C12-3)</f>
        <v>Açık</v>
      </c>
      <c r="G12" s="15">
        <f>IF(Tablo1347[[#This Row],[ALIŞ]]&gt;0,Tablo1347[[#This Row],[ADET]]*Tablo1347[[#This Row],[ALIŞ]]+1.5,0)</f>
        <v>0</v>
      </c>
      <c r="H12" s="15">
        <f>IF(Tablo1347[[#This Row],[SATIŞ]]&gt;0,(Tablo1347[[#This Row],[ADET]]*Tablo1347[[#This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IF(Tablo1347[[#This Row],[SATIŞ]]=0,"Açık",(E13-D13)*C13-3)</f>
        <v>Açık</v>
      </c>
      <c r="G13" s="15">
        <f>IF(Tablo1347[[#This Row],[ALIŞ]]&gt;0,Tablo1347[[#This Row],[ADET]]*Tablo1347[[#This Row],[ALIŞ]]+1.5,0)</f>
        <v>0</v>
      </c>
      <c r="H13" s="15">
        <f>IF(Tablo1347[[#This Row],[SATIŞ]]&gt;0,(Tablo1347[[#This Row],[ADET]]*Tablo1347[[#This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IF(Tablo1347[[#This Row],[SATIŞ]]=0,"Açık",(E14-D14)*C14-3)</f>
        <v>Açık</v>
      </c>
      <c r="G14" s="15">
        <f>IF(Tablo1347[[#This Row],[ALIŞ]]&gt;0,Tablo1347[[#This Row],[ADET]]*Tablo1347[[#This Row],[ALIŞ]]+1.5,0)</f>
        <v>0</v>
      </c>
      <c r="H14" s="15">
        <f>IF(Tablo1347[[#This Row],[SATIŞ]]&gt;0,(Tablo1347[[#This Row],[ADET]]*Tablo1347[[#This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IF(Tablo1347[[#This Row],[SATIŞ]]=0,"Açık",(E15-D15)*C15-3)</f>
        <v>Açık</v>
      </c>
      <c r="G15" s="15">
        <f>IF(Tablo1347[[#This Row],[ALIŞ]]&gt;0,Tablo1347[[#This Row],[ADET]]*Tablo1347[[#This Row],[ALIŞ]]+1.5,0)</f>
        <v>0</v>
      </c>
      <c r="H15" s="15">
        <f>IF(Tablo1347[[#This Row],[SATIŞ]]&gt;0,(Tablo1347[[#This Row],[ADET]]*Tablo1347[[#This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IF(Tablo1347[[#This Row],[SATIŞ]]=0,"Açık",(E16-D16)*C16-3)</f>
        <v>Açık</v>
      </c>
      <c r="G16" s="15">
        <f>IF(Tablo1347[[#This Row],[ALIŞ]]&gt;0,Tablo1347[[#This Row],[ADET]]*Tablo1347[[#This Row],[ALIŞ]]+1.5,0)</f>
        <v>0</v>
      </c>
      <c r="H16" s="15">
        <f>IF(Tablo1347[[#This Row],[SATIŞ]]&gt;0,(Tablo1347[[#This Row],[ADET]]*Tablo1347[[#This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IF(Tablo1347[[#This Row],[SATIŞ]]=0,"Açık",(E17-D17)*C17-3)</f>
        <v>Açık</v>
      </c>
      <c r="G17" s="15">
        <f>IF(Tablo1347[[#This Row],[ALIŞ]]&gt;0,Tablo1347[[#This Row],[ADET]]*Tablo1347[[#This Row],[ALIŞ]]+1.5,0)</f>
        <v>0</v>
      </c>
      <c r="H17" s="15">
        <f>IF(Tablo1347[[#This Row],[SATIŞ]]&gt;0,(Tablo1347[[#This Row],[ADET]]*Tablo1347[[#This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IF(Tablo1347[[#This Row],[SATIŞ]]=0,"Açık",(E18-D18)*C18-3)</f>
        <v>Açık</v>
      </c>
      <c r="G18" s="15">
        <f>IF(Tablo1347[[#This Row],[ALIŞ]]&gt;0,Tablo1347[[#This Row],[ADET]]*Tablo1347[[#This Row],[ALIŞ]]+1.5,0)</f>
        <v>0</v>
      </c>
      <c r="H18" s="15">
        <f>IF(Tablo1347[[#This Row],[SATIŞ]]&gt;0,(Tablo1347[[#This Row],[ADET]]*Tablo1347[[#This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IF(Tablo1347[[#This Row],[SATIŞ]]=0,"Açık",(E19-D19)*C19-3)</f>
        <v>Açık</v>
      </c>
      <c r="G19" s="15">
        <f>IF(Tablo1347[[#This Row],[ALIŞ]]&gt;0,Tablo1347[[#This Row],[ADET]]*Tablo1347[[#This Row],[ALIŞ]]+1.5,0)</f>
        <v>0</v>
      </c>
      <c r="H19" s="15">
        <f>IF(Tablo1347[[#This Row],[SATIŞ]]&gt;0,(Tablo1347[[#This Row],[ADET]]*Tablo1347[[#This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IF(Tablo1347[[#This Row],[SATIŞ]]=0,"Açık",(E20-D20)*C20-3)</f>
        <v>Açık</v>
      </c>
      <c r="G20" s="15">
        <f>IF(Tablo1347[[#This Row],[ALIŞ]]&gt;0,Tablo1347[[#This Row],[ADET]]*Tablo1347[[#This Row],[ALIŞ]]+1.5,0)</f>
        <v>0</v>
      </c>
      <c r="H20" s="15">
        <f>IF(Tablo1347[[#This Row],[SATIŞ]]&gt;0,(Tablo1347[[#This Row],[ADET]]*Tablo1347[[#This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IF(Tablo1347[[#This Row],[SATIŞ]]=0,"Açık",(E21-D21)*C21-3)</f>
        <v>Açık</v>
      </c>
      <c r="G21" s="15">
        <f>IF(Tablo1347[[#This Row],[ALIŞ]]&gt;0,Tablo1347[[#This Row],[ADET]]*Tablo1347[[#This Row],[ALIŞ]]+1.5,0)</f>
        <v>0</v>
      </c>
      <c r="H21" s="15">
        <f>IF(Tablo1347[[#This Row],[SATIŞ]]&gt;0,(Tablo1347[[#This Row],[ADET]]*Tablo1347[[#This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IF(Tablo1347[[#This Row],[SATIŞ]]=0,"Açık",(E22-D22)*C22-3)</f>
        <v>Açık</v>
      </c>
      <c r="G22" s="15">
        <f>IF(Tablo1347[[#This Row],[ALIŞ]]&gt;0,Tablo1347[[#This Row],[ADET]]*Tablo1347[[#This Row],[ALIŞ]]+1.5,0)</f>
        <v>0</v>
      </c>
      <c r="H22" s="15">
        <f>IF(Tablo1347[[#This Row],[SATIŞ]]&gt;0,(Tablo1347[[#This Row],[ADET]]*Tablo1347[[#This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IF(Tablo1347[[#This Row],[SATIŞ]]=0,"Açık",(E23-D23)*C23-3)</f>
        <v>Açık</v>
      </c>
      <c r="G23" s="15">
        <f>IF(Tablo1347[[#This Row],[ALIŞ]]&gt;0,Tablo1347[[#This Row],[ADET]]*Tablo1347[[#This Row],[ALIŞ]]+1.5,0)</f>
        <v>0</v>
      </c>
      <c r="H23" s="15">
        <f>IF(Tablo1347[[#This Row],[SATIŞ]]&gt;0,(Tablo1347[[#This Row],[ADET]]*Tablo1347[[#This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IF(Tablo1347[[#This Row],[SATIŞ]]=0,"Açık",(E24-D24)*C24-3)</f>
        <v>Açık</v>
      </c>
      <c r="G24" s="15">
        <f>IF(Tablo1347[[#This Row],[ALIŞ]]&gt;0,Tablo1347[[#This Row],[ADET]]*Tablo1347[[#This Row],[ALIŞ]]+1.5,0)</f>
        <v>0</v>
      </c>
      <c r="H24" s="15">
        <f>IF(Tablo1347[[#This Row],[SATIŞ]]&gt;0,(Tablo1347[[#This Row],[ADET]]*Tablo1347[[#This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IF(Tablo1347[[#This Row],[SATIŞ]]=0,"Açık",(E25-D25)*C25-3)</f>
        <v>Açık</v>
      </c>
      <c r="G25" s="15">
        <f>IF(Tablo1347[[#This Row],[ALIŞ]]&gt;0,Tablo1347[[#This Row],[ADET]]*Tablo1347[[#This Row],[ALIŞ]]+1.5,0)</f>
        <v>0</v>
      </c>
      <c r="H25" s="15">
        <f>IF(Tablo1347[[#This Row],[SATIŞ]]&gt;0,(Tablo1347[[#This Row],[ADET]]*Tablo1347[[#This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IF(Tablo1347[[#This Row],[SATIŞ]]=0,"Açık",(E26-D26)*C26-3)</f>
        <v>Açık</v>
      </c>
      <c r="G26" s="15">
        <f>IF(Tablo1347[[#This Row],[ALIŞ]]&gt;0,Tablo1347[[#This Row],[ADET]]*Tablo1347[[#This Row],[ALIŞ]]+1.5,0)</f>
        <v>0</v>
      </c>
      <c r="H26" s="15">
        <f>IF(Tablo1347[[#This Row],[SATIŞ]]&gt;0,(Tablo1347[[#This Row],[ADET]]*Tablo1347[[#This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IF(Tablo1347[[#This Row],[SATIŞ]]=0,"Açık",(E27-D27)*C27-3)</f>
        <v>Açık</v>
      </c>
      <c r="G27" s="15">
        <f>IF(Tablo1347[[#This Row],[ALIŞ]]&gt;0,Tablo1347[[#This Row],[ADET]]*Tablo1347[[#This Row],[ALIŞ]]+1.5,0)</f>
        <v>0</v>
      </c>
      <c r="H27" s="15">
        <f>IF(Tablo1347[[#This Row],[SATIŞ]]&gt;0,(Tablo1347[[#This Row],[ADET]]*Tablo1347[[#This Row],[SATIŞ]]-1.5),0)</f>
        <v>0</v>
      </c>
    </row>
  </sheetData>
  <conditionalFormatting sqref="B4:E4 B5:F27">
    <cfRule type="expression" dxfId="65" priority="4">
      <formula>$F4&lt;0</formula>
    </cfRule>
    <cfRule type="expression" dxfId="64" priority="5">
      <formula>$F4="Açık"</formula>
    </cfRule>
    <cfRule type="expression" dxfId="63" priority="6">
      <formula>$F4&gt;0</formula>
    </cfRule>
  </conditionalFormatting>
  <conditionalFormatting sqref="F4">
    <cfRule type="expression" dxfId="62" priority="1">
      <formula>$F4&lt;0</formula>
    </cfRule>
    <cfRule type="expression" dxfId="61" priority="2">
      <formula>$F4="Açık"</formula>
    </cfRule>
    <cfRule type="expression" dxfId="60" priority="3">
      <formula>$F4&gt;0</formula>
    </cfRule>
  </conditionalFormatting>
  <hyperlinks>
    <hyperlink ref="B1" location="İcmal!A1" display="ANA SAYFA" xr:uid="{99DE9A1C-BB85-4959-B328-D42584062423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68D5-F5F7-4A49-B7F6-DD2903E3853D}">
  <dimension ref="B1:R27"/>
  <sheetViews>
    <sheetView workbookViewId="0">
      <selection activeCell="L26" sqref="L26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SUMIF(Tablo134710[KAR],"Açık",Tablo134710[ADET])</f>
        <v>0</v>
      </c>
      <c r="D1" s="3"/>
      <c r="E1" s="3">
        <f>C1*D1</f>
        <v>0</v>
      </c>
      <c r="F1" s="3" t="str">
        <f>IFERROR(((SUM(Tablo134710[ALIŞ TUTAR])-SUM(Tablo134710[SATIŞ TUTAR]))/C1),"")</f>
        <v/>
      </c>
      <c r="G1" s="3">
        <f>IF(M3=0,L3,C1*(D1-F1))</f>
        <v>2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SUM(Tablo134710[KAR])</f>
        <v>2</v>
      </c>
      <c r="M3" s="12">
        <f>C1</f>
        <v>0</v>
      </c>
    </row>
    <row r="4" spans="2:18" ht="21" customHeight="1" x14ac:dyDescent="0.3">
      <c r="B4" s="13">
        <v>44748</v>
      </c>
      <c r="C4" s="8">
        <v>10</v>
      </c>
      <c r="D4" s="3">
        <v>43.5</v>
      </c>
      <c r="E4" s="3">
        <v>44</v>
      </c>
      <c r="F4" s="14">
        <f>IF(Tablo134710[[#This Row],[SATIŞ]]=0,"Açık",(E4-D4)*C4-3)</f>
        <v>2</v>
      </c>
      <c r="G4" s="15">
        <f>IF(Tablo134710[[#This Row],[ALIŞ]]&gt;0,Tablo134710[[#This Row],[ADET]]*Tablo134710[[#This Row],[ALIŞ]]+1.5,0)</f>
        <v>436.5</v>
      </c>
      <c r="H4" s="15">
        <f>IF(Tablo134710[[#This Row],[SATIŞ]]&gt;0,(Tablo134710[[#This Row],[ADET]]*Tablo134710[[#This Row],[SATIŞ]]-1.5),0)</f>
        <v>438.5</v>
      </c>
      <c r="L4" s="5"/>
      <c r="M4" s="5"/>
      <c r="N4" s="5"/>
    </row>
    <row r="5" spans="2:18" ht="21" customHeight="1" x14ac:dyDescent="0.3">
      <c r="B5" s="13"/>
      <c r="D5" s="3"/>
      <c r="E5" s="3"/>
      <c r="F5" s="14" t="str">
        <f>IF(Tablo134710[[#This Row],[SATIŞ]]=0,"Açık",(E5-D5)*C5-3)</f>
        <v>Açık</v>
      </c>
      <c r="G5" s="15">
        <f>IF(Tablo134710[[#This Row],[ALIŞ]]&gt;0,Tablo134710[[#This Row],[ADET]]*Tablo134710[[#This Row],[ALIŞ]]+1.5,0)</f>
        <v>0</v>
      </c>
      <c r="H5" s="15">
        <f>IF(Tablo134710[[#This Row],[SATIŞ]]&gt;0,(Tablo134710[[#This Row],[ADET]]*Tablo134710[[#This Row],[SATIŞ]]-1.5),0)</f>
        <v>0</v>
      </c>
    </row>
    <row r="6" spans="2:18" ht="21" customHeight="1" x14ac:dyDescent="0.3">
      <c r="B6" s="13"/>
      <c r="D6" s="3"/>
      <c r="E6" s="3"/>
      <c r="F6" s="14" t="str">
        <f>IF(Tablo134710[[#This Row],[SATIŞ]]=0,"Açık",(E6-D6)*C6-3)</f>
        <v>Açık</v>
      </c>
      <c r="G6" s="15">
        <f>IF(Tablo134710[[#This Row],[ALIŞ]]&gt;0,Tablo134710[[#This Row],[ADET]]*Tablo134710[[#This Row],[ALIŞ]]+1.5,0)</f>
        <v>0</v>
      </c>
      <c r="H6" s="15">
        <f>IF(Tablo134710[[#This Row],[SATIŞ]]&gt;0,(Tablo134710[[#This Row],[ADET]]*Tablo134710[[#This Row],[SATIŞ]]-1.5),0)</f>
        <v>0</v>
      </c>
    </row>
    <row r="7" spans="2:18" ht="21" customHeight="1" x14ac:dyDescent="0.3">
      <c r="B7" s="13"/>
      <c r="D7" s="3"/>
      <c r="E7" s="3"/>
      <c r="F7" s="14" t="str">
        <f>IF(Tablo134710[[#This Row],[SATIŞ]]=0,"Açık",(E7-D7)*C7-3)</f>
        <v>Açık</v>
      </c>
      <c r="G7" s="15">
        <f>IF(Tablo134710[[#This Row],[ALIŞ]]&gt;0,Tablo134710[[#This Row],[ADET]]*Tablo134710[[#This Row],[ALIŞ]]+1.5,0)</f>
        <v>0</v>
      </c>
      <c r="H7" s="15">
        <f>IF(Tablo134710[[#This Row],[SATIŞ]]&gt;0,(Tablo134710[[#This Row],[ADET]]*Tablo134710[[#This Row],[SATIŞ]]-1.5),0)</f>
        <v>0</v>
      </c>
    </row>
    <row r="8" spans="2:18" ht="21" customHeight="1" x14ac:dyDescent="0.3">
      <c r="B8" s="13"/>
      <c r="D8" s="3"/>
      <c r="E8" s="3"/>
      <c r="F8" s="14" t="str">
        <f>IF(Tablo134710[[#This Row],[SATIŞ]]=0,"Açık",(E8-D8)*C8-3)</f>
        <v>Açık</v>
      </c>
      <c r="G8" s="15">
        <f>IF(Tablo134710[[#This Row],[ALIŞ]]&gt;0,Tablo134710[[#This Row],[ADET]]*Tablo134710[[#This Row],[ALIŞ]]+1.5,0)</f>
        <v>0</v>
      </c>
      <c r="H8" s="15">
        <f>IF(Tablo134710[[#This Row],[SATIŞ]]&gt;0,(Tablo134710[[#This Row],[ADET]]*Tablo134710[[#This Row],[SATIŞ]]-1.5),0)</f>
        <v>0</v>
      </c>
    </row>
    <row r="9" spans="2:18" ht="21" customHeight="1" x14ac:dyDescent="0.3">
      <c r="B9" s="13"/>
      <c r="D9" s="3"/>
      <c r="E9" s="3"/>
      <c r="F9" s="14" t="str">
        <f>IF(Tablo134710[[#This Row],[SATIŞ]]=0,"Açık",(E9-D9)*C9-3)</f>
        <v>Açık</v>
      </c>
      <c r="G9" s="15">
        <f>IF(Tablo134710[[#This Row],[ALIŞ]]&gt;0,Tablo134710[[#This Row],[ADET]]*Tablo134710[[#This Row],[ALIŞ]]+1.5,0)</f>
        <v>0</v>
      </c>
      <c r="H9" s="15">
        <f>IF(Tablo134710[[#This Row],[SATIŞ]]&gt;0,(Tablo134710[[#This Row],[ADET]]*Tablo134710[[#This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IF(Tablo134710[[#This Row],[SATIŞ]]=0,"Açık",(E10-D10)*C10-3)</f>
        <v>Açık</v>
      </c>
      <c r="G10" s="15">
        <f>IF(Tablo134710[[#This Row],[ALIŞ]]&gt;0,Tablo134710[[#This Row],[ADET]]*Tablo134710[[#This Row],[ALIŞ]]+1.5,0)</f>
        <v>0</v>
      </c>
      <c r="H10" s="15">
        <f>IF(Tablo134710[[#This Row],[SATIŞ]]&gt;0,(Tablo134710[[#This Row],[ADET]]*Tablo134710[[#This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IF(Tablo134710[[#This Row],[SATIŞ]]=0,"Açık",(E11-D11)*C11-3)</f>
        <v>Açık</v>
      </c>
      <c r="G11" s="15">
        <f>IF(Tablo134710[[#This Row],[ALIŞ]]&gt;0,Tablo134710[[#This Row],[ADET]]*Tablo134710[[#This Row],[ALIŞ]]+1.5,0)</f>
        <v>0</v>
      </c>
      <c r="H11" s="15">
        <f>IF(Tablo134710[[#This Row],[SATIŞ]]&gt;0,(Tablo134710[[#This Row],[ADET]]*Tablo134710[[#This Row],[SATIŞ]]-1.5),0)</f>
        <v>0</v>
      </c>
      <c r="J11">
        <f>+Tablo134710[[#This Row],[ALIŞ]]*1.02</f>
        <v>0</v>
      </c>
    </row>
    <row r="12" spans="2:18" ht="21" customHeight="1" x14ac:dyDescent="0.3">
      <c r="B12" s="13"/>
      <c r="D12" s="3"/>
      <c r="E12" s="3"/>
      <c r="F12" s="14" t="str">
        <f>IF(Tablo134710[[#This Row],[SATIŞ]]=0,"Açık",(E12-D12)*C12-3)</f>
        <v>Açık</v>
      </c>
      <c r="G12" s="15">
        <f>IF(Tablo134710[[#This Row],[ALIŞ]]&gt;0,Tablo134710[[#This Row],[ADET]]*Tablo134710[[#This Row],[ALIŞ]]+1.5,0)</f>
        <v>0</v>
      </c>
      <c r="H12" s="15">
        <f>IF(Tablo134710[[#This Row],[SATIŞ]]&gt;0,(Tablo134710[[#This Row],[ADET]]*Tablo134710[[#This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IF(Tablo134710[[#This Row],[SATIŞ]]=0,"Açık",(E13-D13)*C13-3)</f>
        <v>Açık</v>
      </c>
      <c r="G13" s="15">
        <f>IF(Tablo134710[[#This Row],[ALIŞ]]&gt;0,Tablo134710[[#This Row],[ADET]]*Tablo134710[[#This Row],[ALIŞ]]+1.5,0)</f>
        <v>0</v>
      </c>
      <c r="H13" s="15">
        <f>IF(Tablo134710[[#This Row],[SATIŞ]]&gt;0,(Tablo134710[[#This Row],[ADET]]*Tablo134710[[#This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IF(Tablo134710[[#This Row],[SATIŞ]]=0,"Açık",(E14-D14)*C14-3)</f>
        <v>Açık</v>
      </c>
      <c r="G14" s="15">
        <f>IF(Tablo134710[[#This Row],[ALIŞ]]&gt;0,Tablo134710[[#This Row],[ADET]]*Tablo134710[[#This Row],[ALIŞ]]+1.5,0)</f>
        <v>0</v>
      </c>
      <c r="H14" s="15">
        <f>IF(Tablo134710[[#This Row],[SATIŞ]]&gt;0,(Tablo134710[[#This Row],[ADET]]*Tablo134710[[#This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IF(Tablo134710[[#This Row],[SATIŞ]]=0,"Açık",(E15-D15)*C15-3)</f>
        <v>Açık</v>
      </c>
      <c r="G15" s="15">
        <f>IF(Tablo134710[[#This Row],[ALIŞ]]&gt;0,Tablo134710[[#This Row],[ADET]]*Tablo134710[[#This Row],[ALIŞ]]+1.5,0)</f>
        <v>0</v>
      </c>
      <c r="H15" s="15">
        <f>IF(Tablo134710[[#This Row],[SATIŞ]]&gt;0,(Tablo134710[[#This Row],[ADET]]*Tablo134710[[#This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IF(Tablo134710[[#This Row],[SATIŞ]]=0,"Açık",(E16-D16)*C16-3)</f>
        <v>Açık</v>
      </c>
      <c r="G16" s="15">
        <f>IF(Tablo134710[[#This Row],[ALIŞ]]&gt;0,Tablo134710[[#This Row],[ADET]]*Tablo134710[[#This Row],[ALIŞ]]+1.5,0)</f>
        <v>0</v>
      </c>
      <c r="H16" s="15">
        <f>IF(Tablo134710[[#This Row],[SATIŞ]]&gt;0,(Tablo134710[[#This Row],[ADET]]*Tablo134710[[#This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IF(Tablo134710[[#This Row],[SATIŞ]]=0,"Açık",(E17-D17)*C17-3)</f>
        <v>Açık</v>
      </c>
      <c r="G17" s="15">
        <f>IF(Tablo134710[[#This Row],[ALIŞ]]&gt;0,Tablo134710[[#This Row],[ADET]]*Tablo134710[[#This Row],[ALIŞ]]+1.5,0)</f>
        <v>0</v>
      </c>
      <c r="H17" s="15">
        <f>IF(Tablo134710[[#This Row],[SATIŞ]]&gt;0,(Tablo134710[[#This Row],[ADET]]*Tablo134710[[#This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IF(Tablo134710[[#This Row],[SATIŞ]]=0,"Açık",(E18-D18)*C18-3)</f>
        <v>Açık</v>
      </c>
      <c r="G18" s="15">
        <f>IF(Tablo134710[[#This Row],[ALIŞ]]&gt;0,Tablo134710[[#This Row],[ADET]]*Tablo134710[[#This Row],[ALIŞ]]+1.5,0)</f>
        <v>0</v>
      </c>
      <c r="H18" s="15">
        <f>IF(Tablo134710[[#This Row],[SATIŞ]]&gt;0,(Tablo134710[[#This Row],[ADET]]*Tablo134710[[#This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IF(Tablo134710[[#This Row],[SATIŞ]]=0,"Açık",(E19-D19)*C19-3)</f>
        <v>Açık</v>
      </c>
      <c r="G19" s="15">
        <f>IF(Tablo134710[[#This Row],[ALIŞ]]&gt;0,Tablo134710[[#This Row],[ADET]]*Tablo134710[[#This Row],[ALIŞ]]+1.5,0)</f>
        <v>0</v>
      </c>
      <c r="H19" s="15">
        <f>IF(Tablo134710[[#This Row],[SATIŞ]]&gt;0,(Tablo134710[[#This Row],[ADET]]*Tablo134710[[#This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IF(Tablo134710[[#This Row],[SATIŞ]]=0,"Açık",(E20-D20)*C20-3)</f>
        <v>Açık</v>
      </c>
      <c r="G20" s="15">
        <f>IF(Tablo134710[[#This Row],[ALIŞ]]&gt;0,Tablo134710[[#This Row],[ADET]]*Tablo134710[[#This Row],[ALIŞ]]+1.5,0)</f>
        <v>0</v>
      </c>
      <c r="H20" s="15">
        <f>IF(Tablo134710[[#This Row],[SATIŞ]]&gt;0,(Tablo134710[[#This Row],[ADET]]*Tablo134710[[#This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IF(Tablo134710[[#This Row],[SATIŞ]]=0,"Açık",(E21-D21)*C21-3)</f>
        <v>Açık</v>
      </c>
      <c r="G21" s="15">
        <f>IF(Tablo134710[[#This Row],[ALIŞ]]&gt;0,Tablo134710[[#This Row],[ADET]]*Tablo134710[[#This Row],[ALIŞ]]+1.5,0)</f>
        <v>0</v>
      </c>
      <c r="H21" s="15">
        <f>IF(Tablo134710[[#This Row],[SATIŞ]]&gt;0,(Tablo134710[[#This Row],[ADET]]*Tablo134710[[#This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IF(Tablo134710[[#This Row],[SATIŞ]]=0,"Açık",(E22-D22)*C22-3)</f>
        <v>Açık</v>
      </c>
      <c r="G22" s="15">
        <f>IF(Tablo134710[[#This Row],[ALIŞ]]&gt;0,Tablo134710[[#This Row],[ADET]]*Tablo134710[[#This Row],[ALIŞ]]+1.5,0)</f>
        <v>0</v>
      </c>
      <c r="H22" s="15">
        <f>IF(Tablo134710[[#This Row],[SATIŞ]]&gt;0,(Tablo134710[[#This Row],[ADET]]*Tablo134710[[#This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IF(Tablo134710[[#This Row],[SATIŞ]]=0,"Açık",(E23-D23)*C23-3)</f>
        <v>Açık</v>
      </c>
      <c r="G23" s="15">
        <f>IF(Tablo134710[[#This Row],[ALIŞ]]&gt;0,Tablo134710[[#This Row],[ADET]]*Tablo134710[[#This Row],[ALIŞ]]+1.5,0)</f>
        <v>0</v>
      </c>
      <c r="H23" s="15">
        <f>IF(Tablo134710[[#This Row],[SATIŞ]]&gt;0,(Tablo134710[[#This Row],[ADET]]*Tablo134710[[#This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IF(Tablo134710[[#This Row],[SATIŞ]]=0,"Açık",(E24-D24)*C24-3)</f>
        <v>Açık</v>
      </c>
      <c r="G24" s="15">
        <f>IF(Tablo134710[[#This Row],[ALIŞ]]&gt;0,Tablo134710[[#This Row],[ADET]]*Tablo134710[[#This Row],[ALIŞ]]+1.5,0)</f>
        <v>0</v>
      </c>
      <c r="H24" s="15">
        <f>IF(Tablo134710[[#This Row],[SATIŞ]]&gt;0,(Tablo134710[[#This Row],[ADET]]*Tablo134710[[#This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IF(Tablo134710[[#This Row],[SATIŞ]]=0,"Açık",(E25-D25)*C25-3)</f>
        <v>Açık</v>
      </c>
      <c r="G25" s="15">
        <f>IF(Tablo134710[[#This Row],[ALIŞ]]&gt;0,Tablo134710[[#This Row],[ADET]]*Tablo134710[[#This Row],[ALIŞ]]+1.5,0)</f>
        <v>0</v>
      </c>
      <c r="H25" s="15">
        <f>IF(Tablo134710[[#This Row],[SATIŞ]]&gt;0,(Tablo134710[[#This Row],[ADET]]*Tablo134710[[#This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IF(Tablo134710[[#This Row],[SATIŞ]]=0,"Açık",(E26-D26)*C26-3)</f>
        <v>Açık</v>
      </c>
      <c r="G26" s="15">
        <f>IF(Tablo134710[[#This Row],[ALIŞ]]&gt;0,Tablo134710[[#This Row],[ADET]]*Tablo134710[[#This Row],[ALIŞ]]+1.5,0)</f>
        <v>0</v>
      </c>
      <c r="H26" s="15">
        <f>IF(Tablo134710[[#This Row],[SATIŞ]]&gt;0,(Tablo134710[[#This Row],[ADET]]*Tablo134710[[#This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IF(Tablo134710[[#This Row],[SATIŞ]]=0,"Açık",(E27-D27)*C27-3)</f>
        <v>Açık</v>
      </c>
      <c r="G27" s="15">
        <f>IF(Tablo134710[[#This Row],[ALIŞ]]&gt;0,Tablo134710[[#This Row],[ADET]]*Tablo134710[[#This Row],[ALIŞ]]+1.5,0)</f>
        <v>0</v>
      </c>
      <c r="H27" s="15">
        <f>IF(Tablo134710[[#This Row],[SATIŞ]]&gt;0,(Tablo134710[[#This Row],[ADET]]*Tablo134710[[#This Row],[SATIŞ]]-1.5),0)</f>
        <v>0</v>
      </c>
    </row>
  </sheetData>
  <conditionalFormatting sqref="B4:E4 B5:F27">
    <cfRule type="expression" dxfId="59" priority="4">
      <formula>$F4&lt;0</formula>
    </cfRule>
    <cfRule type="expression" dxfId="58" priority="5">
      <formula>$F4="Açık"</formula>
    </cfRule>
    <cfRule type="expression" dxfId="57" priority="6">
      <formula>$F4&gt;0</formula>
    </cfRule>
  </conditionalFormatting>
  <conditionalFormatting sqref="F4">
    <cfRule type="expression" dxfId="56" priority="1">
      <formula>$F4&lt;0</formula>
    </cfRule>
    <cfRule type="expression" dxfId="55" priority="2">
      <formula>$F4="Açık"</formula>
    </cfRule>
    <cfRule type="expression" dxfId="54" priority="3">
      <formula>$F4&gt;0</formula>
    </cfRule>
  </conditionalFormatting>
  <hyperlinks>
    <hyperlink ref="B1" location="İcmal!A1" display="ANA SAYFA" xr:uid="{D0928E5D-EAEC-4025-90D3-52A34BAB7CA7}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D701-C760-48C5-B793-A0BF8956E847}">
  <dimension ref="B1:R27"/>
  <sheetViews>
    <sheetView workbookViewId="0">
      <selection activeCell="E5" sqref="E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SUMIF(Tablo1342627282930[KAR],"Açık",Tablo1342627282930[ADET])</f>
        <v>8</v>
      </c>
      <c r="D1" s="16">
        <f>+İcmal!E31</f>
        <v>78.12</v>
      </c>
      <c r="E1" s="16">
        <f>C1*D1</f>
        <v>624.96</v>
      </c>
      <c r="F1" s="16">
        <f>IFERROR(((SUM(Tablo1342627282930[ALIŞ TUTAR])-SUM(Tablo1342627282930[SATIŞ TUTAR]))/C1),"")</f>
        <v>75.911250000000024</v>
      </c>
      <c r="G1" s="3">
        <f>IF(M3=0,L3,C1*(D1-F1))</f>
        <v>17.669999999999845</v>
      </c>
      <c r="J1" s="4">
        <v>0.02</v>
      </c>
      <c r="L1" s="5">
        <f>M1*(1-$J$1)</f>
        <v>74.393025000000023</v>
      </c>
      <c r="M1" s="6">
        <f>F1</f>
        <v>75.911250000000024</v>
      </c>
      <c r="N1" s="5">
        <f>M1*(1+$J$1)</f>
        <v>77.429475000000025</v>
      </c>
      <c r="P1" s="5">
        <f>Q1*(1-$J$1)</f>
        <v>76.557600000000008</v>
      </c>
      <c r="Q1" s="6">
        <f>+D1</f>
        <v>78.12</v>
      </c>
      <c r="R1" s="5">
        <f>Q1*(1+$J$1)</f>
        <v>79.682400000000001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SUM(Tablo1342627282930[KAR])</f>
        <v>7.6499999999999773</v>
      </c>
      <c r="M3" s="12">
        <f>C1</f>
        <v>8</v>
      </c>
    </row>
    <row r="4" spans="2:18" ht="21" customHeight="1" x14ac:dyDescent="0.3">
      <c r="B4" s="13">
        <v>45328</v>
      </c>
      <c r="C4" s="8">
        <v>5</v>
      </c>
      <c r="D4" s="16">
        <v>76.680000000000007</v>
      </c>
      <c r="E4" s="16">
        <v>78.81</v>
      </c>
      <c r="F4" s="17">
        <f>IF(Tablo1342627282930[[#This Row],[SATIŞ]]=0,"Açık",(E4-D4)*C4-3)</f>
        <v>7.6499999999999773</v>
      </c>
      <c r="G4" s="15">
        <f>IF(Tablo1342627282930[[#This Row],[ALIŞ]]&gt;0,Tablo1342627282930[[#This Row],[ADET]]*Tablo1342627282930[[#This Row],[ALIŞ]]+1.5,0)</f>
        <v>384.90000000000003</v>
      </c>
      <c r="H4" s="15">
        <f>IF(Tablo1342627282930[[#This Row],[SATIŞ]]&gt;0,(Tablo1342627282930[[#This Row],[ADET]]*Tablo1342627282930[[#This Row],[SATIŞ]]-1.5),0)</f>
        <v>392.55</v>
      </c>
      <c r="L4" s="5"/>
      <c r="M4" s="5"/>
      <c r="N4" s="5"/>
    </row>
    <row r="5" spans="2:18" ht="21" customHeight="1" x14ac:dyDescent="0.3">
      <c r="B5" s="13">
        <v>45328</v>
      </c>
      <c r="C5" s="8">
        <v>8</v>
      </c>
      <c r="D5" s="16">
        <v>76.680000000000007</v>
      </c>
      <c r="F5" s="17" t="str">
        <f>IF(Tablo1342627282930[[#This Row],[SATIŞ]]=0,"Açık",(E5-D5)*C5-3)</f>
        <v>Açık</v>
      </c>
      <c r="G5" s="15">
        <f>IF(Tablo1342627282930[[#This Row],[ALIŞ]]&gt;0,Tablo1342627282930[[#This Row],[ADET]]*Tablo1342627282930[[#This Row],[ALIŞ]]+1.5,0)</f>
        <v>614.94000000000005</v>
      </c>
      <c r="H5" s="15">
        <f>IF(Tablo1342627282930[[#This Row],[SATIŞ]]&gt;0,(Tablo1342627282930[[#This Row],[ADET]]*Tablo1342627282930[[#This Row],[SATIŞ]]-1.5),0)</f>
        <v>0</v>
      </c>
    </row>
    <row r="6" spans="2:18" ht="21" customHeight="1" x14ac:dyDescent="0.3">
      <c r="B6" s="13"/>
      <c r="F6" s="17" t="str">
        <f>IF(Tablo1342627282930[[#This Row],[SATIŞ]]=0,"Açık",(E6-D6)*C6-3)</f>
        <v>Açık</v>
      </c>
      <c r="G6" s="15">
        <f>IF(Tablo1342627282930[[#This Row],[ALIŞ]]&gt;0,Tablo1342627282930[[#This Row],[ADET]]*Tablo1342627282930[[#This Row],[ALIŞ]]+1.5,0)</f>
        <v>0</v>
      </c>
      <c r="H6" s="15">
        <f>IF(Tablo1342627282930[[#This Row],[SATIŞ]]&gt;0,(Tablo1342627282930[[#This Row],[ADET]]*Tablo1342627282930[[#This Row],[SATIŞ]]-1.5),0)</f>
        <v>0</v>
      </c>
    </row>
    <row r="7" spans="2:18" ht="21" customHeight="1" x14ac:dyDescent="0.3">
      <c r="B7" s="13"/>
      <c r="F7" s="17" t="str">
        <f>IF(Tablo1342627282930[[#This Row],[SATIŞ]]=0,"Açık",(E7-D7)*C7-3)</f>
        <v>Açık</v>
      </c>
      <c r="G7" s="15">
        <f>IF(Tablo1342627282930[[#This Row],[ALIŞ]]&gt;0,Tablo1342627282930[[#This Row],[ADET]]*Tablo1342627282930[[#This Row],[ALIŞ]]+1.5,0)</f>
        <v>0</v>
      </c>
      <c r="H7" s="15">
        <f>IF(Tablo1342627282930[[#This Row],[SATIŞ]]&gt;0,(Tablo1342627282930[[#This Row],[ADET]]*Tablo1342627282930[[#This Row],[SATIŞ]]-1.5),0)</f>
        <v>0</v>
      </c>
    </row>
    <row r="8" spans="2:18" ht="21" customHeight="1" x14ac:dyDescent="0.3">
      <c r="B8" s="13"/>
      <c r="F8" s="17" t="str">
        <f>IF(Tablo1342627282930[[#This Row],[SATIŞ]]=0,"Açık",(E8-D8)*C8-3)</f>
        <v>Açık</v>
      </c>
      <c r="G8" s="15">
        <f>IF(Tablo1342627282930[[#This Row],[ALIŞ]]&gt;0,Tablo1342627282930[[#This Row],[ADET]]*Tablo1342627282930[[#This Row],[ALIŞ]]+1.5,0)</f>
        <v>0</v>
      </c>
      <c r="H8" s="15">
        <f>IF(Tablo1342627282930[[#This Row],[SATIŞ]]&gt;0,(Tablo1342627282930[[#This Row],[ADET]]*Tablo1342627282930[[#This Row],[SATIŞ]]-1.5),0)</f>
        <v>0</v>
      </c>
    </row>
    <row r="9" spans="2:18" ht="21" customHeight="1" x14ac:dyDescent="0.3">
      <c r="B9" s="13"/>
      <c r="F9" s="17" t="str">
        <f>IF(Tablo1342627282930[[#This Row],[SATIŞ]]=0,"Açık",(E9-D9)*C9-3)</f>
        <v>Açık</v>
      </c>
      <c r="G9" s="15">
        <f>IF(Tablo1342627282930[[#This Row],[ALIŞ]]&gt;0,Tablo1342627282930[[#This Row],[ADET]]*Tablo1342627282930[[#This Row],[ALIŞ]]+1.5,0)</f>
        <v>0</v>
      </c>
      <c r="H9" s="15">
        <f>IF(Tablo1342627282930[[#This Row],[SATIŞ]]&gt;0,(Tablo1342627282930[[#This Row],[ADET]]*Tablo1342627282930[[#This Row],[SATIŞ]]-1.5),0)</f>
        <v>0</v>
      </c>
    </row>
    <row r="10" spans="2:18" ht="21" customHeight="1" x14ac:dyDescent="0.3">
      <c r="B10" s="13"/>
      <c r="F10" s="17" t="str">
        <f>IF(Tablo1342627282930[[#This Row],[SATIŞ]]=0,"Açık",(E10-D10)*C10-3)</f>
        <v>Açık</v>
      </c>
      <c r="G10" s="15">
        <f>IF(Tablo1342627282930[[#This Row],[ALIŞ]]&gt;0,Tablo1342627282930[[#This Row],[ADET]]*Tablo1342627282930[[#This Row],[ALIŞ]]+1.5,0)</f>
        <v>0</v>
      </c>
      <c r="H10" s="15">
        <f>IF(Tablo1342627282930[[#This Row],[SATIŞ]]&gt;0,(Tablo1342627282930[[#This Row],[ADET]]*Tablo1342627282930[[#This Row],[SATIŞ]]-1.5),0)</f>
        <v>0</v>
      </c>
    </row>
    <row r="11" spans="2:18" ht="21" customHeight="1" x14ac:dyDescent="0.3">
      <c r="B11" s="13"/>
      <c r="F11" s="17" t="str">
        <f>IF(Tablo1342627282930[[#This Row],[SATIŞ]]=0,"Açık",(E11-D11)*C11-3)</f>
        <v>Açık</v>
      </c>
      <c r="G11" s="15">
        <f>IF(Tablo1342627282930[[#This Row],[ALIŞ]]&gt;0,Tablo1342627282930[[#This Row],[ADET]]*Tablo1342627282930[[#This Row],[ALIŞ]]+1.5,0)</f>
        <v>0</v>
      </c>
      <c r="H11" s="15">
        <f>IF(Tablo1342627282930[[#This Row],[SATIŞ]]&gt;0,(Tablo1342627282930[[#This Row],[ADET]]*Tablo1342627282930[[#This Row],[SATIŞ]]-1.5),0)</f>
        <v>0</v>
      </c>
      <c r="J11">
        <f>+Tablo1342627282930[[#This Row],[ALIŞ]]*1.02</f>
        <v>0</v>
      </c>
    </row>
    <row r="12" spans="2:18" ht="21" customHeight="1" x14ac:dyDescent="0.3">
      <c r="B12" s="13"/>
      <c r="F12" s="17" t="str">
        <f>IF(Tablo1342627282930[[#This Row],[SATIŞ]]=0,"Açık",(E12-D12)*C12-3)</f>
        <v>Açık</v>
      </c>
      <c r="G12" s="15">
        <f>IF(Tablo1342627282930[[#This Row],[ALIŞ]]&gt;0,Tablo1342627282930[[#This Row],[ADET]]*Tablo1342627282930[[#This Row],[ALIŞ]]+1.5,0)</f>
        <v>0</v>
      </c>
      <c r="H12" s="15">
        <f>IF(Tablo1342627282930[[#This Row],[SATIŞ]]&gt;0,(Tablo1342627282930[[#This Row],[ADET]]*Tablo1342627282930[[#This Row],[SATIŞ]]-1.5),0)</f>
        <v>0</v>
      </c>
    </row>
    <row r="13" spans="2:18" ht="21" customHeight="1" x14ac:dyDescent="0.3">
      <c r="B13" s="13"/>
      <c r="F13" s="17" t="str">
        <f>IF(Tablo1342627282930[[#This Row],[SATIŞ]]=0,"Açık",(E13-D13)*C13-3)</f>
        <v>Açık</v>
      </c>
      <c r="G13" s="15">
        <f>IF(Tablo1342627282930[[#This Row],[ALIŞ]]&gt;0,Tablo1342627282930[[#This Row],[ADET]]*Tablo1342627282930[[#This Row],[ALIŞ]]+1.5,0)</f>
        <v>0</v>
      </c>
      <c r="H13" s="15">
        <f>IF(Tablo1342627282930[[#This Row],[SATIŞ]]&gt;0,(Tablo1342627282930[[#This Row],[ADET]]*Tablo1342627282930[[#This Row],[SATIŞ]]-1.5),0)</f>
        <v>0</v>
      </c>
    </row>
    <row r="14" spans="2:18" ht="21" customHeight="1" x14ac:dyDescent="0.3">
      <c r="B14" s="13"/>
      <c r="F14" s="17" t="str">
        <f>IF(Tablo1342627282930[[#This Row],[SATIŞ]]=0,"Açık",(E14-D14)*C14-3)</f>
        <v>Açık</v>
      </c>
      <c r="G14" s="15">
        <f>IF(Tablo1342627282930[[#This Row],[ALIŞ]]&gt;0,Tablo1342627282930[[#This Row],[ADET]]*Tablo1342627282930[[#This Row],[ALIŞ]]+1.5,0)</f>
        <v>0</v>
      </c>
      <c r="H14" s="15">
        <f>IF(Tablo1342627282930[[#This Row],[SATIŞ]]&gt;0,(Tablo1342627282930[[#This Row],[ADET]]*Tablo1342627282930[[#This Row],[SATIŞ]]-1.5),0)</f>
        <v>0</v>
      </c>
    </row>
    <row r="15" spans="2:18" ht="21" customHeight="1" x14ac:dyDescent="0.3">
      <c r="B15" s="13"/>
      <c r="F15" s="17" t="str">
        <f>IF(Tablo1342627282930[[#This Row],[SATIŞ]]=0,"Açık",(E15-D15)*C15-3)</f>
        <v>Açık</v>
      </c>
      <c r="G15" s="15">
        <f>IF(Tablo1342627282930[[#This Row],[ALIŞ]]&gt;0,Tablo1342627282930[[#This Row],[ADET]]*Tablo1342627282930[[#This Row],[ALIŞ]]+1.5,0)</f>
        <v>0</v>
      </c>
      <c r="H15" s="15">
        <f>IF(Tablo1342627282930[[#This Row],[SATIŞ]]&gt;0,(Tablo1342627282930[[#This Row],[ADET]]*Tablo1342627282930[[#This Row],[SATIŞ]]-1.5),0)</f>
        <v>0</v>
      </c>
    </row>
    <row r="16" spans="2:18" ht="21" customHeight="1" x14ac:dyDescent="0.3">
      <c r="B16" s="13"/>
      <c r="F16" s="17" t="str">
        <f>IF(Tablo1342627282930[[#This Row],[SATIŞ]]=0,"Açık",(E16-D16)*C16-3)</f>
        <v>Açık</v>
      </c>
      <c r="G16" s="15">
        <f>IF(Tablo1342627282930[[#This Row],[ALIŞ]]&gt;0,Tablo1342627282930[[#This Row],[ADET]]*Tablo1342627282930[[#This Row],[ALIŞ]]+1.5,0)</f>
        <v>0</v>
      </c>
      <c r="H16" s="15">
        <f>IF(Tablo1342627282930[[#This Row],[SATIŞ]]&gt;0,(Tablo1342627282930[[#This Row],[ADET]]*Tablo1342627282930[[#This Row],[SATIŞ]]-1.5),0)</f>
        <v>0</v>
      </c>
    </row>
    <row r="17" spans="2:8" ht="21" customHeight="1" x14ac:dyDescent="0.3">
      <c r="B17" s="13"/>
      <c r="F17" s="17" t="str">
        <f>IF(Tablo1342627282930[[#This Row],[SATIŞ]]=0,"Açık",(E17-D17)*C17-3)</f>
        <v>Açık</v>
      </c>
      <c r="G17" s="15">
        <f>IF(Tablo1342627282930[[#This Row],[ALIŞ]]&gt;0,Tablo1342627282930[[#This Row],[ADET]]*Tablo1342627282930[[#This Row],[ALIŞ]]+1.5,0)</f>
        <v>0</v>
      </c>
      <c r="H17" s="15">
        <f>IF(Tablo1342627282930[[#This Row],[SATIŞ]]&gt;0,(Tablo1342627282930[[#This Row],[ADET]]*Tablo1342627282930[[#This Row],[SATIŞ]]-1.5),0)</f>
        <v>0</v>
      </c>
    </row>
    <row r="18" spans="2:8" ht="21" customHeight="1" x14ac:dyDescent="0.3">
      <c r="B18" s="13"/>
      <c r="F18" s="17" t="str">
        <f>IF(Tablo1342627282930[[#This Row],[SATIŞ]]=0,"Açık",(E18-D18)*C18-3)</f>
        <v>Açık</v>
      </c>
      <c r="G18" s="15">
        <f>IF(Tablo1342627282930[[#This Row],[ALIŞ]]&gt;0,Tablo1342627282930[[#This Row],[ADET]]*Tablo1342627282930[[#This Row],[ALIŞ]]+1.5,0)</f>
        <v>0</v>
      </c>
      <c r="H18" s="15">
        <f>IF(Tablo1342627282930[[#This Row],[SATIŞ]]&gt;0,(Tablo1342627282930[[#This Row],[ADET]]*Tablo1342627282930[[#This Row],[SATIŞ]]-1.5),0)</f>
        <v>0</v>
      </c>
    </row>
    <row r="19" spans="2:8" ht="21" customHeight="1" x14ac:dyDescent="0.3">
      <c r="B19" s="13"/>
      <c r="F19" s="17" t="str">
        <f>IF(Tablo1342627282930[[#This Row],[SATIŞ]]=0,"Açık",(E19-D19)*C19-3)</f>
        <v>Açık</v>
      </c>
      <c r="G19" s="15">
        <f>IF(Tablo1342627282930[[#This Row],[ALIŞ]]&gt;0,Tablo1342627282930[[#This Row],[ADET]]*Tablo1342627282930[[#This Row],[ALIŞ]]+1.5,0)</f>
        <v>0</v>
      </c>
      <c r="H19" s="15">
        <f>IF(Tablo1342627282930[[#This Row],[SATIŞ]]&gt;0,(Tablo1342627282930[[#This Row],[ADET]]*Tablo1342627282930[[#This Row],[SATIŞ]]-1.5),0)</f>
        <v>0</v>
      </c>
    </row>
    <row r="20" spans="2:8" ht="21" customHeight="1" x14ac:dyDescent="0.3">
      <c r="B20" s="13"/>
      <c r="F20" s="17" t="str">
        <f>IF(Tablo1342627282930[[#This Row],[SATIŞ]]=0,"Açık",(E20-D20)*C20-3)</f>
        <v>Açık</v>
      </c>
      <c r="G20" s="15">
        <f>IF(Tablo1342627282930[[#This Row],[ALIŞ]]&gt;0,Tablo1342627282930[[#This Row],[ADET]]*Tablo1342627282930[[#This Row],[ALIŞ]]+1.5,0)</f>
        <v>0</v>
      </c>
      <c r="H20" s="15">
        <f>IF(Tablo1342627282930[[#This Row],[SATIŞ]]&gt;0,(Tablo1342627282930[[#This Row],[ADET]]*Tablo1342627282930[[#This Row],[SATIŞ]]-1.5),0)</f>
        <v>0</v>
      </c>
    </row>
    <row r="21" spans="2:8" ht="21" customHeight="1" x14ac:dyDescent="0.3">
      <c r="B21" s="13"/>
      <c r="F21" s="17" t="str">
        <f>IF(Tablo1342627282930[[#This Row],[SATIŞ]]=0,"Açık",(E21-D21)*C21-3)</f>
        <v>Açık</v>
      </c>
      <c r="G21" s="15">
        <f>IF(Tablo1342627282930[[#This Row],[ALIŞ]]&gt;0,Tablo1342627282930[[#This Row],[ADET]]*Tablo1342627282930[[#This Row],[ALIŞ]]+1.5,0)</f>
        <v>0</v>
      </c>
      <c r="H21" s="15">
        <f>IF(Tablo1342627282930[[#This Row],[SATIŞ]]&gt;0,(Tablo1342627282930[[#This Row],[ADET]]*Tablo1342627282930[[#This Row],[SATIŞ]]-1.5),0)</f>
        <v>0</v>
      </c>
    </row>
    <row r="22" spans="2:8" ht="21" customHeight="1" x14ac:dyDescent="0.3">
      <c r="B22" s="13"/>
      <c r="F22" s="17" t="str">
        <f>IF(Tablo1342627282930[[#This Row],[SATIŞ]]=0,"Açık",(E22-D22)*C22-3)</f>
        <v>Açık</v>
      </c>
      <c r="G22" s="15">
        <f>IF(Tablo1342627282930[[#This Row],[ALIŞ]]&gt;0,Tablo1342627282930[[#This Row],[ADET]]*Tablo1342627282930[[#This Row],[ALIŞ]]+1.5,0)</f>
        <v>0</v>
      </c>
      <c r="H22" s="15">
        <f>IF(Tablo1342627282930[[#This Row],[SATIŞ]]&gt;0,(Tablo1342627282930[[#This Row],[ADET]]*Tablo1342627282930[[#This Row],[SATIŞ]]-1.5),0)</f>
        <v>0</v>
      </c>
    </row>
    <row r="23" spans="2:8" ht="21" customHeight="1" x14ac:dyDescent="0.3">
      <c r="B23" s="13"/>
      <c r="F23" s="17" t="str">
        <f>IF(Tablo1342627282930[[#This Row],[SATIŞ]]=0,"Açık",(E23-D23)*C23-3)</f>
        <v>Açık</v>
      </c>
      <c r="G23" s="15">
        <f>IF(Tablo1342627282930[[#This Row],[ALIŞ]]&gt;0,Tablo1342627282930[[#This Row],[ADET]]*Tablo1342627282930[[#This Row],[ALIŞ]]+1.5,0)</f>
        <v>0</v>
      </c>
      <c r="H23" s="15">
        <f>IF(Tablo1342627282930[[#This Row],[SATIŞ]]&gt;0,(Tablo1342627282930[[#This Row],[ADET]]*Tablo1342627282930[[#This Row],[SATIŞ]]-1.5),0)</f>
        <v>0</v>
      </c>
    </row>
    <row r="24" spans="2:8" ht="21" customHeight="1" x14ac:dyDescent="0.3">
      <c r="B24" s="13"/>
      <c r="F24" s="17" t="str">
        <f>IF(Tablo1342627282930[[#This Row],[SATIŞ]]=0,"Açık",(E24-D24)*C24-3)</f>
        <v>Açık</v>
      </c>
      <c r="G24" s="15">
        <f>IF(Tablo1342627282930[[#This Row],[ALIŞ]]&gt;0,Tablo1342627282930[[#This Row],[ADET]]*Tablo1342627282930[[#This Row],[ALIŞ]]+1.5,0)</f>
        <v>0</v>
      </c>
      <c r="H24" s="15">
        <f>IF(Tablo1342627282930[[#This Row],[SATIŞ]]&gt;0,(Tablo1342627282930[[#This Row],[ADET]]*Tablo1342627282930[[#This Row],[SATIŞ]]-1.5),0)</f>
        <v>0</v>
      </c>
    </row>
    <row r="25" spans="2:8" ht="21" customHeight="1" x14ac:dyDescent="0.3">
      <c r="B25" s="13"/>
      <c r="F25" s="17" t="str">
        <f>IF(Tablo1342627282930[[#This Row],[SATIŞ]]=0,"Açık",(E25-D25)*C25-3)</f>
        <v>Açık</v>
      </c>
      <c r="G25" s="15">
        <f>IF(Tablo1342627282930[[#This Row],[ALIŞ]]&gt;0,Tablo1342627282930[[#This Row],[ADET]]*Tablo1342627282930[[#This Row],[ALIŞ]]+1.5,0)</f>
        <v>0</v>
      </c>
      <c r="H25" s="15">
        <f>IF(Tablo1342627282930[[#This Row],[SATIŞ]]&gt;0,(Tablo1342627282930[[#This Row],[ADET]]*Tablo1342627282930[[#This Row],[SATIŞ]]-1.5),0)</f>
        <v>0</v>
      </c>
    </row>
    <row r="26" spans="2:8" ht="21" customHeight="1" x14ac:dyDescent="0.3">
      <c r="B26" s="13"/>
      <c r="F26" s="17" t="str">
        <f>IF(Tablo1342627282930[[#This Row],[SATIŞ]]=0,"Açık",(E26-D26)*C26-3)</f>
        <v>Açık</v>
      </c>
      <c r="G26" s="15">
        <f>IF(Tablo1342627282930[[#This Row],[ALIŞ]]&gt;0,Tablo1342627282930[[#This Row],[ADET]]*Tablo1342627282930[[#This Row],[ALIŞ]]+1.5,0)</f>
        <v>0</v>
      </c>
      <c r="H26" s="15">
        <f>IF(Tablo1342627282930[[#This Row],[SATIŞ]]&gt;0,(Tablo1342627282930[[#This Row],[ADET]]*Tablo1342627282930[[#This Row],[SATIŞ]]-1.5),0)</f>
        <v>0</v>
      </c>
    </row>
    <row r="27" spans="2:8" ht="21" customHeight="1" x14ac:dyDescent="0.3">
      <c r="B27" s="13"/>
      <c r="F27" s="17" t="str">
        <f>IF(Tablo1342627282930[[#This Row],[SATIŞ]]=0,"Açık",(E27-D27)*C27-3)</f>
        <v>Açık</v>
      </c>
      <c r="G27" s="15">
        <f>IF(Tablo1342627282930[[#This Row],[ALIŞ]]&gt;0,Tablo1342627282930[[#This Row],[ADET]]*Tablo1342627282930[[#This Row],[ALIŞ]]+1.5,0)</f>
        <v>0</v>
      </c>
      <c r="H27" s="15">
        <f>IF(Tablo1342627282930[[#This Row],[SATIŞ]]&gt;0,(Tablo1342627282930[[#This Row],[ADET]]*Tablo1342627282930[[#This Row],[SATIŞ]]-1.5),0)</f>
        <v>0</v>
      </c>
    </row>
  </sheetData>
  <conditionalFormatting sqref="B4:E4 B5:F27">
    <cfRule type="expression" dxfId="53" priority="4">
      <formula>$F4&lt;0</formula>
    </cfRule>
    <cfRule type="expression" dxfId="52" priority="5">
      <formula>$F4="Açık"</formula>
    </cfRule>
    <cfRule type="expression" dxfId="51" priority="6">
      <formula>$F4&gt;0</formula>
    </cfRule>
  </conditionalFormatting>
  <conditionalFormatting sqref="F4">
    <cfRule type="expression" dxfId="50" priority="1">
      <formula>$F4&lt;0</formula>
    </cfRule>
    <cfRule type="expression" dxfId="49" priority="2">
      <formula>$F4="Açık"</formula>
    </cfRule>
    <cfRule type="expression" dxfId="48" priority="3">
      <formula>$F4&gt;0</formula>
    </cfRule>
  </conditionalFormatting>
  <hyperlinks>
    <hyperlink ref="B1" location="İcmal!A1" display="ANA SAYFA" xr:uid="{E4767165-5CFA-4B6C-A02A-1DC7DEDC5F4B}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C72D-E694-4377-8A17-D7728723A1A7}">
  <dimension ref="B1:R27"/>
  <sheetViews>
    <sheetView workbookViewId="0">
      <selection activeCell="E5" sqref="E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SUMIF(Tablo1342627[KAR],"Açık",Tablo1342627[ADET])</f>
        <v>11</v>
      </c>
      <c r="D1" s="16">
        <f>+İcmal!E32</f>
        <v>49.58</v>
      </c>
      <c r="E1" s="16">
        <f>C1*D1</f>
        <v>545.38</v>
      </c>
      <c r="F1" s="16">
        <f>IFERROR(((SUM(Tablo1342627[ALIŞ TUTAR])-SUM(Tablo1342627[SATIŞ TUTAR]))/C1),"")</f>
        <v>48.957272727272716</v>
      </c>
      <c r="G1" s="3">
        <f>IF(M3=0,L3,C1*(D1-F1))</f>
        <v>6.8500000000001009</v>
      </c>
      <c r="J1" s="4">
        <v>0.02</v>
      </c>
      <c r="L1" s="5">
        <f>M1*(1-$J$1)</f>
        <v>47.978127272727264</v>
      </c>
      <c r="M1" s="6">
        <f>F1</f>
        <v>48.957272727272716</v>
      </c>
      <c r="N1" s="5">
        <f>M1*(1+$J$1)</f>
        <v>49.936418181818169</v>
      </c>
      <c r="P1" s="5">
        <f>Q1*(1-$J$1)</f>
        <v>48.5884</v>
      </c>
      <c r="Q1" s="6">
        <f>+D1</f>
        <v>49.58</v>
      </c>
      <c r="R1" s="5">
        <f>Q1*(1+$J$1)</f>
        <v>50.571599999999997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SUM(Tablo1342627[KAR])</f>
        <v>5.5999999999999943</v>
      </c>
      <c r="M3" s="12">
        <f>C1</f>
        <v>11</v>
      </c>
    </row>
    <row r="4" spans="2:18" ht="21" customHeight="1" x14ac:dyDescent="0.3">
      <c r="B4" s="13">
        <v>45328</v>
      </c>
      <c r="C4" s="8">
        <v>10</v>
      </c>
      <c r="D4" s="16">
        <v>49.33</v>
      </c>
      <c r="E4" s="16">
        <v>50.19</v>
      </c>
      <c r="F4" s="17">
        <f>IF(Tablo1342627[[#This Row],[SATIŞ]]=0,"Açık",(E4-D4)*C4-3)</f>
        <v>5.5999999999999943</v>
      </c>
      <c r="G4" s="15">
        <f>IF(Tablo1342627[[#This Row],[ALIŞ]]&gt;0,Tablo1342627[[#This Row],[ADET]]*Tablo1342627[[#This Row],[ALIŞ]]+1.5,0)</f>
        <v>494.79999999999995</v>
      </c>
      <c r="H4" s="15">
        <f>IF(Tablo1342627[[#This Row],[SATIŞ]]&gt;0,(Tablo1342627[[#This Row],[ADET]]*Tablo1342627[[#This Row],[SATIŞ]]-1.5),0)</f>
        <v>500.4</v>
      </c>
      <c r="L4" s="5"/>
      <c r="M4" s="5"/>
      <c r="N4" s="5"/>
    </row>
    <row r="5" spans="2:18" ht="21" customHeight="1" x14ac:dyDescent="0.3">
      <c r="B5" s="13">
        <v>45328</v>
      </c>
      <c r="C5" s="8">
        <v>11</v>
      </c>
      <c r="D5" s="16">
        <v>49.33</v>
      </c>
      <c r="F5" s="17" t="str">
        <f>IF(Tablo1342627[[#This Row],[SATIŞ]]=0,"Açık",(E5-D5)*C5-3)</f>
        <v>Açık</v>
      </c>
      <c r="G5" s="15">
        <f>IF(Tablo1342627[[#This Row],[ALIŞ]]&gt;0,Tablo1342627[[#This Row],[ADET]]*Tablo1342627[[#This Row],[ALIŞ]]+1.5,0)</f>
        <v>544.13</v>
      </c>
      <c r="H5" s="15">
        <f>IF(Tablo1342627[[#This Row],[SATIŞ]]&gt;0,(Tablo1342627[[#This Row],[ADET]]*Tablo1342627[[#This Row],[SATIŞ]]-1.5),0)</f>
        <v>0</v>
      </c>
    </row>
    <row r="6" spans="2:18" ht="21" customHeight="1" x14ac:dyDescent="0.3">
      <c r="B6" s="13"/>
      <c r="F6" s="17" t="str">
        <f>IF(Tablo1342627[[#This Row],[SATIŞ]]=0,"Açık",(E6-D6)*C6-3)</f>
        <v>Açık</v>
      </c>
      <c r="G6" s="15">
        <f>IF(Tablo1342627[[#This Row],[ALIŞ]]&gt;0,Tablo1342627[[#This Row],[ADET]]*Tablo1342627[[#This Row],[ALIŞ]]+1.5,0)</f>
        <v>0</v>
      </c>
      <c r="H6" s="15">
        <f>IF(Tablo1342627[[#This Row],[SATIŞ]]&gt;0,(Tablo1342627[[#This Row],[ADET]]*Tablo1342627[[#This Row],[SATIŞ]]-1.5),0)</f>
        <v>0</v>
      </c>
    </row>
    <row r="7" spans="2:18" ht="21" customHeight="1" x14ac:dyDescent="0.3">
      <c r="B7" s="13"/>
      <c r="F7" s="17" t="str">
        <f>IF(Tablo1342627[[#This Row],[SATIŞ]]=0,"Açık",(E7-D7)*C7-3)</f>
        <v>Açık</v>
      </c>
      <c r="G7" s="15">
        <f>IF(Tablo1342627[[#This Row],[ALIŞ]]&gt;0,Tablo1342627[[#This Row],[ADET]]*Tablo1342627[[#This Row],[ALIŞ]]+1.5,0)</f>
        <v>0</v>
      </c>
      <c r="H7" s="15">
        <f>IF(Tablo1342627[[#This Row],[SATIŞ]]&gt;0,(Tablo1342627[[#This Row],[ADET]]*Tablo1342627[[#This Row],[SATIŞ]]-1.5),0)</f>
        <v>0</v>
      </c>
    </row>
    <row r="8" spans="2:18" ht="21" customHeight="1" x14ac:dyDescent="0.3">
      <c r="B8" s="13"/>
      <c r="F8" s="17" t="str">
        <f>IF(Tablo1342627[[#This Row],[SATIŞ]]=0,"Açık",(E8-D8)*C8-3)</f>
        <v>Açık</v>
      </c>
      <c r="G8" s="15">
        <f>IF(Tablo1342627[[#This Row],[ALIŞ]]&gt;0,Tablo1342627[[#This Row],[ADET]]*Tablo1342627[[#This Row],[ALIŞ]]+1.5,0)</f>
        <v>0</v>
      </c>
      <c r="H8" s="15">
        <f>IF(Tablo1342627[[#This Row],[SATIŞ]]&gt;0,(Tablo1342627[[#This Row],[ADET]]*Tablo1342627[[#This Row],[SATIŞ]]-1.5),0)</f>
        <v>0</v>
      </c>
    </row>
    <row r="9" spans="2:18" ht="21" customHeight="1" x14ac:dyDescent="0.3">
      <c r="B9" s="13"/>
      <c r="F9" s="17" t="str">
        <f>IF(Tablo1342627[[#This Row],[SATIŞ]]=0,"Açık",(E9-D9)*C9-3)</f>
        <v>Açık</v>
      </c>
      <c r="G9" s="15">
        <f>IF(Tablo1342627[[#This Row],[ALIŞ]]&gt;0,Tablo1342627[[#This Row],[ADET]]*Tablo1342627[[#This Row],[ALIŞ]]+1.5,0)</f>
        <v>0</v>
      </c>
      <c r="H9" s="15">
        <f>IF(Tablo1342627[[#This Row],[SATIŞ]]&gt;0,(Tablo1342627[[#This Row],[ADET]]*Tablo1342627[[#This Row],[SATIŞ]]-1.5),0)</f>
        <v>0</v>
      </c>
    </row>
    <row r="10" spans="2:18" ht="21" customHeight="1" x14ac:dyDescent="0.3">
      <c r="B10" s="13"/>
      <c r="F10" s="17" t="str">
        <f>IF(Tablo1342627[[#This Row],[SATIŞ]]=0,"Açık",(E10-D10)*C10-3)</f>
        <v>Açık</v>
      </c>
      <c r="G10" s="15">
        <f>IF(Tablo1342627[[#This Row],[ALIŞ]]&gt;0,Tablo1342627[[#This Row],[ADET]]*Tablo1342627[[#This Row],[ALIŞ]]+1.5,0)</f>
        <v>0</v>
      </c>
      <c r="H10" s="15">
        <f>IF(Tablo1342627[[#This Row],[SATIŞ]]&gt;0,(Tablo1342627[[#This Row],[ADET]]*Tablo1342627[[#This Row],[SATIŞ]]-1.5),0)</f>
        <v>0</v>
      </c>
    </row>
    <row r="11" spans="2:18" ht="21" customHeight="1" x14ac:dyDescent="0.3">
      <c r="B11" s="13"/>
      <c r="F11" s="17" t="str">
        <f>IF(Tablo1342627[[#This Row],[SATIŞ]]=0,"Açık",(E11-D11)*C11-3)</f>
        <v>Açık</v>
      </c>
      <c r="G11" s="15">
        <f>IF(Tablo1342627[[#This Row],[ALIŞ]]&gt;0,Tablo1342627[[#This Row],[ADET]]*Tablo1342627[[#This Row],[ALIŞ]]+1.5,0)</f>
        <v>0</v>
      </c>
      <c r="H11" s="15">
        <f>IF(Tablo1342627[[#This Row],[SATIŞ]]&gt;0,(Tablo1342627[[#This Row],[ADET]]*Tablo1342627[[#This Row],[SATIŞ]]-1.5),0)</f>
        <v>0</v>
      </c>
      <c r="J11">
        <f>+Tablo1342627[[#This Row],[ALIŞ]]*1.02</f>
        <v>0</v>
      </c>
    </row>
    <row r="12" spans="2:18" ht="21" customHeight="1" x14ac:dyDescent="0.3">
      <c r="B12" s="13"/>
      <c r="F12" s="17" t="str">
        <f>IF(Tablo1342627[[#This Row],[SATIŞ]]=0,"Açık",(E12-D12)*C12-3)</f>
        <v>Açık</v>
      </c>
      <c r="G12" s="15">
        <f>IF(Tablo1342627[[#This Row],[ALIŞ]]&gt;0,Tablo1342627[[#This Row],[ADET]]*Tablo1342627[[#This Row],[ALIŞ]]+1.5,0)</f>
        <v>0</v>
      </c>
      <c r="H12" s="15">
        <f>IF(Tablo1342627[[#This Row],[SATIŞ]]&gt;0,(Tablo1342627[[#This Row],[ADET]]*Tablo1342627[[#This Row],[SATIŞ]]-1.5),0)</f>
        <v>0</v>
      </c>
    </row>
    <row r="13" spans="2:18" ht="21" customHeight="1" x14ac:dyDescent="0.3">
      <c r="B13" s="13"/>
      <c r="F13" s="17" t="str">
        <f>IF(Tablo1342627[[#This Row],[SATIŞ]]=0,"Açık",(E13-D13)*C13-3)</f>
        <v>Açık</v>
      </c>
      <c r="G13" s="15">
        <f>IF(Tablo1342627[[#This Row],[ALIŞ]]&gt;0,Tablo1342627[[#This Row],[ADET]]*Tablo1342627[[#This Row],[ALIŞ]]+1.5,0)</f>
        <v>0</v>
      </c>
      <c r="H13" s="15">
        <f>IF(Tablo1342627[[#This Row],[SATIŞ]]&gt;0,(Tablo1342627[[#This Row],[ADET]]*Tablo1342627[[#This Row],[SATIŞ]]-1.5),0)</f>
        <v>0</v>
      </c>
    </row>
    <row r="14" spans="2:18" ht="21" customHeight="1" x14ac:dyDescent="0.3">
      <c r="B14" s="13"/>
      <c r="F14" s="17" t="str">
        <f>IF(Tablo1342627[[#This Row],[SATIŞ]]=0,"Açık",(E14-D14)*C14-3)</f>
        <v>Açık</v>
      </c>
      <c r="G14" s="15">
        <f>IF(Tablo1342627[[#This Row],[ALIŞ]]&gt;0,Tablo1342627[[#This Row],[ADET]]*Tablo1342627[[#This Row],[ALIŞ]]+1.5,0)</f>
        <v>0</v>
      </c>
      <c r="H14" s="15">
        <f>IF(Tablo1342627[[#This Row],[SATIŞ]]&gt;0,(Tablo1342627[[#This Row],[ADET]]*Tablo1342627[[#This Row],[SATIŞ]]-1.5),0)</f>
        <v>0</v>
      </c>
    </row>
    <row r="15" spans="2:18" ht="21" customHeight="1" x14ac:dyDescent="0.3">
      <c r="B15" s="13"/>
      <c r="F15" s="17" t="str">
        <f>IF(Tablo1342627[[#This Row],[SATIŞ]]=0,"Açık",(E15-D15)*C15-3)</f>
        <v>Açık</v>
      </c>
      <c r="G15" s="15">
        <f>IF(Tablo1342627[[#This Row],[ALIŞ]]&gt;0,Tablo1342627[[#This Row],[ADET]]*Tablo1342627[[#This Row],[ALIŞ]]+1.5,0)</f>
        <v>0</v>
      </c>
      <c r="H15" s="15">
        <f>IF(Tablo1342627[[#This Row],[SATIŞ]]&gt;0,(Tablo1342627[[#This Row],[ADET]]*Tablo1342627[[#This Row],[SATIŞ]]-1.5),0)</f>
        <v>0</v>
      </c>
    </row>
    <row r="16" spans="2:18" ht="21" customHeight="1" x14ac:dyDescent="0.3">
      <c r="B16" s="13"/>
      <c r="F16" s="17" t="str">
        <f>IF(Tablo1342627[[#This Row],[SATIŞ]]=0,"Açık",(E16-D16)*C16-3)</f>
        <v>Açık</v>
      </c>
      <c r="G16" s="15">
        <f>IF(Tablo1342627[[#This Row],[ALIŞ]]&gt;0,Tablo1342627[[#This Row],[ADET]]*Tablo1342627[[#This Row],[ALIŞ]]+1.5,0)</f>
        <v>0</v>
      </c>
      <c r="H16" s="15">
        <f>IF(Tablo1342627[[#This Row],[SATIŞ]]&gt;0,(Tablo1342627[[#This Row],[ADET]]*Tablo1342627[[#This Row],[SATIŞ]]-1.5),0)</f>
        <v>0</v>
      </c>
    </row>
    <row r="17" spans="2:8" ht="21" customHeight="1" x14ac:dyDescent="0.3">
      <c r="B17" s="13"/>
      <c r="F17" s="17" t="str">
        <f>IF(Tablo1342627[[#This Row],[SATIŞ]]=0,"Açık",(E17-D17)*C17-3)</f>
        <v>Açık</v>
      </c>
      <c r="G17" s="15">
        <f>IF(Tablo1342627[[#This Row],[ALIŞ]]&gt;0,Tablo1342627[[#This Row],[ADET]]*Tablo1342627[[#This Row],[ALIŞ]]+1.5,0)</f>
        <v>0</v>
      </c>
      <c r="H17" s="15">
        <f>IF(Tablo1342627[[#This Row],[SATIŞ]]&gt;0,(Tablo1342627[[#This Row],[ADET]]*Tablo1342627[[#This Row],[SATIŞ]]-1.5),0)</f>
        <v>0</v>
      </c>
    </row>
    <row r="18" spans="2:8" ht="21" customHeight="1" x14ac:dyDescent="0.3">
      <c r="B18" s="13"/>
      <c r="F18" s="17" t="str">
        <f>IF(Tablo1342627[[#This Row],[SATIŞ]]=0,"Açık",(E18-D18)*C18-3)</f>
        <v>Açık</v>
      </c>
      <c r="G18" s="15">
        <f>IF(Tablo1342627[[#This Row],[ALIŞ]]&gt;0,Tablo1342627[[#This Row],[ADET]]*Tablo1342627[[#This Row],[ALIŞ]]+1.5,0)</f>
        <v>0</v>
      </c>
      <c r="H18" s="15">
        <f>IF(Tablo1342627[[#This Row],[SATIŞ]]&gt;0,(Tablo1342627[[#This Row],[ADET]]*Tablo1342627[[#This Row],[SATIŞ]]-1.5),0)</f>
        <v>0</v>
      </c>
    </row>
    <row r="19" spans="2:8" ht="21" customHeight="1" x14ac:dyDescent="0.3">
      <c r="B19" s="13"/>
      <c r="F19" s="17" t="str">
        <f>IF(Tablo1342627[[#This Row],[SATIŞ]]=0,"Açık",(E19-D19)*C19-3)</f>
        <v>Açık</v>
      </c>
      <c r="G19" s="15">
        <f>IF(Tablo1342627[[#This Row],[ALIŞ]]&gt;0,Tablo1342627[[#This Row],[ADET]]*Tablo1342627[[#This Row],[ALIŞ]]+1.5,0)</f>
        <v>0</v>
      </c>
      <c r="H19" s="15">
        <f>IF(Tablo1342627[[#This Row],[SATIŞ]]&gt;0,(Tablo1342627[[#This Row],[ADET]]*Tablo1342627[[#This Row],[SATIŞ]]-1.5),0)</f>
        <v>0</v>
      </c>
    </row>
    <row r="20" spans="2:8" ht="21" customHeight="1" x14ac:dyDescent="0.3">
      <c r="B20" s="13"/>
      <c r="F20" s="17" t="str">
        <f>IF(Tablo1342627[[#This Row],[SATIŞ]]=0,"Açık",(E20-D20)*C20-3)</f>
        <v>Açık</v>
      </c>
      <c r="G20" s="15">
        <f>IF(Tablo1342627[[#This Row],[ALIŞ]]&gt;0,Tablo1342627[[#This Row],[ADET]]*Tablo1342627[[#This Row],[ALIŞ]]+1.5,0)</f>
        <v>0</v>
      </c>
      <c r="H20" s="15">
        <f>IF(Tablo1342627[[#This Row],[SATIŞ]]&gt;0,(Tablo1342627[[#This Row],[ADET]]*Tablo1342627[[#This Row],[SATIŞ]]-1.5),0)</f>
        <v>0</v>
      </c>
    </row>
    <row r="21" spans="2:8" ht="21" customHeight="1" x14ac:dyDescent="0.3">
      <c r="B21" s="13"/>
      <c r="F21" s="17" t="str">
        <f>IF(Tablo1342627[[#This Row],[SATIŞ]]=0,"Açık",(E21-D21)*C21-3)</f>
        <v>Açık</v>
      </c>
      <c r="G21" s="15">
        <f>IF(Tablo1342627[[#This Row],[ALIŞ]]&gt;0,Tablo1342627[[#This Row],[ADET]]*Tablo1342627[[#This Row],[ALIŞ]]+1.5,0)</f>
        <v>0</v>
      </c>
      <c r="H21" s="15">
        <f>IF(Tablo1342627[[#This Row],[SATIŞ]]&gt;0,(Tablo1342627[[#This Row],[ADET]]*Tablo1342627[[#This Row],[SATIŞ]]-1.5),0)</f>
        <v>0</v>
      </c>
    </row>
    <row r="22" spans="2:8" ht="21" customHeight="1" x14ac:dyDescent="0.3">
      <c r="B22" s="13"/>
      <c r="F22" s="17" t="str">
        <f>IF(Tablo1342627[[#This Row],[SATIŞ]]=0,"Açık",(E22-D22)*C22-3)</f>
        <v>Açık</v>
      </c>
      <c r="G22" s="15">
        <f>IF(Tablo1342627[[#This Row],[ALIŞ]]&gt;0,Tablo1342627[[#This Row],[ADET]]*Tablo1342627[[#This Row],[ALIŞ]]+1.5,0)</f>
        <v>0</v>
      </c>
      <c r="H22" s="15">
        <f>IF(Tablo1342627[[#This Row],[SATIŞ]]&gt;0,(Tablo1342627[[#This Row],[ADET]]*Tablo1342627[[#This Row],[SATIŞ]]-1.5),0)</f>
        <v>0</v>
      </c>
    </row>
    <row r="23" spans="2:8" ht="21" customHeight="1" x14ac:dyDescent="0.3">
      <c r="B23" s="13"/>
      <c r="F23" s="17" t="str">
        <f>IF(Tablo1342627[[#This Row],[SATIŞ]]=0,"Açık",(E23-D23)*C23-3)</f>
        <v>Açık</v>
      </c>
      <c r="G23" s="15">
        <f>IF(Tablo1342627[[#This Row],[ALIŞ]]&gt;0,Tablo1342627[[#This Row],[ADET]]*Tablo1342627[[#This Row],[ALIŞ]]+1.5,0)</f>
        <v>0</v>
      </c>
      <c r="H23" s="15">
        <f>IF(Tablo1342627[[#This Row],[SATIŞ]]&gt;0,(Tablo1342627[[#This Row],[ADET]]*Tablo1342627[[#This Row],[SATIŞ]]-1.5),0)</f>
        <v>0</v>
      </c>
    </row>
    <row r="24" spans="2:8" ht="21" customHeight="1" x14ac:dyDescent="0.3">
      <c r="B24" s="13"/>
      <c r="F24" s="17" t="str">
        <f>IF(Tablo1342627[[#This Row],[SATIŞ]]=0,"Açık",(E24-D24)*C24-3)</f>
        <v>Açık</v>
      </c>
      <c r="G24" s="15">
        <f>IF(Tablo1342627[[#This Row],[ALIŞ]]&gt;0,Tablo1342627[[#This Row],[ADET]]*Tablo1342627[[#This Row],[ALIŞ]]+1.5,0)</f>
        <v>0</v>
      </c>
      <c r="H24" s="15">
        <f>IF(Tablo1342627[[#This Row],[SATIŞ]]&gt;0,(Tablo1342627[[#This Row],[ADET]]*Tablo1342627[[#This Row],[SATIŞ]]-1.5),0)</f>
        <v>0</v>
      </c>
    </row>
    <row r="25" spans="2:8" ht="21" customHeight="1" x14ac:dyDescent="0.3">
      <c r="B25" s="13"/>
      <c r="F25" s="17" t="str">
        <f>IF(Tablo1342627[[#This Row],[SATIŞ]]=0,"Açık",(E25-D25)*C25-3)</f>
        <v>Açık</v>
      </c>
      <c r="G25" s="15">
        <f>IF(Tablo1342627[[#This Row],[ALIŞ]]&gt;0,Tablo1342627[[#This Row],[ADET]]*Tablo1342627[[#This Row],[ALIŞ]]+1.5,0)</f>
        <v>0</v>
      </c>
      <c r="H25" s="15">
        <f>IF(Tablo1342627[[#This Row],[SATIŞ]]&gt;0,(Tablo1342627[[#This Row],[ADET]]*Tablo1342627[[#This Row],[SATIŞ]]-1.5),0)</f>
        <v>0</v>
      </c>
    </row>
    <row r="26" spans="2:8" ht="21" customHeight="1" x14ac:dyDescent="0.3">
      <c r="B26" s="13"/>
      <c r="F26" s="17" t="str">
        <f>IF(Tablo1342627[[#This Row],[SATIŞ]]=0,"Açık",(E26-D26)*C26-3)</f>
        <v>Açık</v>
      </c>
      <c r="G26" s="15">
        <f>IF(Tablo1342627[[#This Row],[ALIŞ]]&gt;0,Tablo1342627[[#This Row],[ADET]]*Tablo1342627[[#This Row],[ALIŞ]]+1.5,0)</f>
        <v>0</v>
      </c>
      <c r="H26" s="15">
        <f>IF(Tablo1342627[[#This Row],[SATIŞ]]&gt;0,(Tablo1342627[[#This Row],[ADET]]*Tablo1342627[[#This Row],[SATIŞ]]-1.5),0)</f>
        <v>0</v>
      </c>
    </row>
    <row r="27" spans="2:8" ht="21" customHeight="1" x14ac:dyDescent="0.3">
      <c r="B27" s="13"/>
      <c r="F27" s="17" t="str">
        <f>IF(Tablo1342627[[#This Row],[SATIŞ]]=0,"Açık",(E27-D27)*C27-3)</f>
        <v>Açık</v>
      </c>
      <c r="G27" s="15">
        <f>IF(Tablo1342627[[#This Row],[ALIŞ]]&gt;0,Tablo1342627[[#This Row],[ADET]]*Tablo1342627[[#This Row],[ALIŞ]]+1.5,0)</f>
        <v>0</v>
      </c>
      <c r="H27" s="15">
        <f>IF(Tablo1342627[[#This Row],[SATIŞ]]&gt;0,(Tablo1342627[[#This Row],[ADET]]*Tablo1342627[[#This Row],[SATIŞ]]-1.5),0)</f>
        <v>0</v>
      </c>
    </row>
  </sheetData>
  <conditionalFormatting sqref="B4:E4 B5:F27">
    <cfRule type="expression" dxfId="47" priority="4">
      <formula>$F4&lt;0</formula>
    </cfRule>
    <cfRule type="expression" dxfId="46" priority="5">
      <formula>$F4="Açık"</formula>
    </cfRule>
    <cfRule type="expression" dxfId="45" priority="6">
      <formula>$F4&gt;0</formula>
    </cfRule>
  </conditionalFormatting>
  <conditionalFormatting sqref="F4">
    <cfRule type="expression" dxfId="44" priority="1">
      <formula>$F4&lt;0</formula>
    </cfRule>
    <cfRule type="expression" dxfId="43" priority="2">
      <formula>$F4="Açık"</formula>
    </cfRule>
    <cfRule type="expression" dxfId="42" priority="3">
      <formula>$F4&gt;0</formula>
    </cfRule>
  </conditionalFormatting>
  <hyperlinks>
    <hyperlink ref="B1" location="İcmal!A1" display="ANA SAYFA" xr:uid="{79333BBC-AC59-4D93-8572-533C8CC43AC3}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1AB6-99E4-49B1-A634-C660D797CEB6}">
  <dimension ref="B1:R27"/>
  <sheetViews>
    <sheetView workbookViewId="0">
      <selection activeCell="F5" sqref="F5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SUMIF(Tablo13[KAR],"Açık",Tablo13[ADET])</f>
        <v>0</v>
      </c>
      <c r="D1" s="3"/>
      <c r="E1" s="3">
        <f>C1*D1</f>
        <v>0</v>
      </c>
      <c r="F1" s="3" t="str">
        <f>IFERROR(((SUM(Tablo13[ALIŞ TUTAR])-SUM(Tablo13[SATIŞ TUTAR]))/C1),"")</f>
        <v/>
      </c>
      <c r="G1" s="3">
        <f>IF(M3=0,L3,C1*(D1-F1))</f>
        <v>-34.5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SUM(Tablo13[KAR])</f>
        <v>-34.5</v>
      </c>
      <c r="M3" s="12">
        <f>C1</f>
        <v>0</v>
      </c>
    </row>
    <row r="4" spans="2:18" ht="21" customHeight="1" x14ac:dyDescent="0.3">
      <c r="B4" s="13">
        <v>44725</v>
      </c>
      <c r="C4" s="8">
        <v>2</v>
      </c>
      <c r="D4" s="3">
        <v>65.290000000000006</v>
      </c>
      <c r="E4" s="3">
        <v>70</v>
      </c>
      <c r="F4" s="14">
        <f>IF(Tablo13[[#This Row],[SATIŞ]]=0,"Açık",(E4-D4)*C4-3)</f>
        <v>6.4199999999999875</v>
      </c>
      <c r="G4" s="15">
        <f>IF(Tablo13[[#This Row],[ALIŞ]]&gt;0,Tablo13[[#This Row],[ADET]]*Tablo13[[#This Row],[ALIŞ]]+1.5,0)</f>
        <v>132.08000000000001</v>
      </c>
      <c r="H4" s="15">
        <f>IF(Tablo13[[#This Row],[SATIŞ]]&gt;0,(Tablo13[[#This Row],[ADET]]*Tablo13[[#This Row],[SATIŞ]]-1.5),0)</f>
        <v>138.5</v>
      </c>
      <c r="L4" s="5"/>
      <c r="M4" s="5"/>
      <c r="N4" s="5"/>
    </row>
    <row r="5" spans="2:18" ht="21" customHeight="1" x14ac:dyDescent="0.3">
      <c r="B5" s="13">
        <v>45470</v>
      </c>
      <c r="C5" s="8">
        <v>2</v>
      </c>
      <c r="D5" s="3">
        <v>69</v>
      </c>
      <c r="E5" s="3">
        <v>70</v>
      </c>
      <c r="F5" s="14">
        <f>IF(Tablo13[[#This Row],[SATIŞ]]=0,"Açık",(E5-D5)*C5-3)</f>
        <v>-1</v>
      </c>
      <c r="G5" s="15">
        <f>IF(Tablo13[[#This Row],[ALIŞ]]&gt;0,Tablo13[[#This Row],[ADET]]*Tablo13[[#This Row],[ALIŞ]]+1.5,0)</f>
        <v>139.5</v>
      </c>
      <c r="H5" s="15">
        <f>IF(Tablo13[[#This Row],[SATIŞ]]&gt;0,(Tablo13[[#This Row],[ADET]]*Tablo13[[#This Row],[SATIŞ]]-1.5),0)</f>
        <v>138.5</v>
      </c>
    </row>
    <row r="6" spans="2:18" ht="21" customHeight="1" x14ac:dyDescent="0.3">
      <c r="B6" s="13">
        <v>45471</v>
      </c>
      <c r="C6" s="8">
        <v>4</v>
      </c>
      <c r="D6" s="3">
        <v>68.5</v>
      </c>
      <c r="E6" s="3">
        <v>59.27</v>
      </c>
      <c r="F6" s="14">
        <f>IF(Tablo13[[#This Row],[SATIŞ]]=0,"Açık",(E6-D6)*C6-3)</f>
        <v>-39.919999999999987</v>
      </c>
      <c r="G6" s="15">
        <f>IF(Tablo13[[#This Row],[ALIŞ]]&gt;0,Tablo13[[#This Row],[ADET]]*Tablo13[[#This Row],[ALIŞ]]+1.5,0)</f>
        <v>275.5</v>
      </c>
      <c r="H6" s="15">
        <f>IF(Tablo13[[#This Row],[SATIŞ]]&gt;0,(Tablo13[[#This Row],[ADET]]*Tablo13[[#This Row],[SATIŞ]]-1.5),0)</f>
        <v>235.58</v>
      </c>
    </row>
    <row r="7" spans="2:18" ht="21" customHeight="1" x14ac:dyDescent="0.3">
      <c r="B7" s="13"/>
      <c r="D7" s="3"/>
      <c r="E7" s="3"/>
      <c r="F7" s="14" t="str">
        <f>IF(Tablo13[[#This Row],[SATIŞ]]=0,"Açık",(E7-D7)*C7-3)</f>
        <v>Açık</v>
      </c>
      <c r="G7" s="15">
        <f>IF(Tablo13[[#This Row],[ALIŞ]]&gt;0,Tablo13[[#This Row],[ADET]]*Tablo13[[#This Row],[ALIŞ]]+1.5,0)</f>
        <v>0</v>
      </c>
      <c r="H7" s="15">
        <f>IF(Tablo13[[#This Row],[SATIŞ]]&gt;0,(Tablo13[[#This Row],[ADET]]*Tablo13[[#This Row],[SATIŞ]]-1.5),0)</f>
        <v>0</v>
      </c>
    </row>
    <row r="8" spans="2:18" ht="21" customHeight="1" x14ac:dyDescent="0.3">
      <c r="B8" s="13"/>
      <c r="D8" s="3"/>
      <c r="E8" s="3"/>
      <c r="F8" s="14" t="str">
        <f>IF(Tablo13[[#This Row],[SATIŞ]]=0,"Açık",(E8-D8)*C8-3)</f>
        <v>Açık</v>
      </c>
      <c r="G8" s="15">
        <f>IF(Tablo13[[#This Row],[ALIŞ]]&gt;0,Tablo13[[#This Row],[ADET]]*Tablo13[[#This Row],[ALIŞ]]+1.5,0)</f>
        <v>0</v>
      </c>
      <c r="H8" s="15">
        <f>IF(Tablo13[[#This Row],[SATIŞ]]&gt;0,(Tablo13[[#This Row],[ADET]]*Tablo13[[#This Row],[SATIŞ]]-1.5),0)</f>
        <v>0</v>
      </c>
    </row>
    <row r="9" spans="2:18" ht="21" customHeight="1" x14ac:dyDescent="0.3">
      <c r="B9" s="13"/>
      <c r="D9" s="3"/>
      <c r="E9" s="3"/>
      <c r="F9" s="14" t="str">
        <f>IF(Tablo13[[#This Row],[SATIŞ]]=0,"Açık",(E9-D9)*C9-3)</f>
        <v>Açık</v>
      </c>
      <c r="G9" s="15">
        <f>IF(Tablo13[[#This Row],[ALIŞ]]&gt;0,Tablo13[[#This Row],[ADET]]*Tablo13[[#This Row],[ALIŞ]]+1.5,0)</f>
        <v>0</v>
      </c>
      <c r="H9" s="15">
        <f>IF(Tablo13[[#This Row],[SATIŞ]]&gt;0,(Tablo13[[#This Row],[ADET]]*Tablo13[[#This Row],[SATIŞ]]-1.5),0)</f>
        <v>0</v>
      </c>
    </row>
    <row r="10" spans="2:18" ht="21" customHeight="1" x14ac:dyDescent="0.3">
      <c r="B10" s="13"/>
      <c r="D10" s="3"/>
      <c r="E10" s="3"/>
      <c r="F10" s="14" t="str">
        <f>IF(Tablo13[[#This Row],[SATIŞ]]=0,"Açık",(E10-D10)*C10-3)</f>
        <v>Açık</v>
      </c>
      <c r="G10" s="15">
        <f>IF(Tablo13[[#This Row],[ALIŞ]]&gt;0,Tablo13[[#This Row],[ADET]]*Tablo13[[#This Row],[ALIŞ]]+1.5,0)</f>
        <v>0</v>
      </c>
      <c r="H10" s="15">
        <f>IF(Tablo13[[#This Row],[SATIŞ]]&gt;0,(Tablo13[[#This Row],[ADET]]*Tablo13[[#This Row],[SATIŞ]]-1.5),0)</f>
        <v>0</v>
      </c>
    </row>
    <row r="11" spans="2:18" ht="21" customHeight="1" x14ac:dyDescent="0.3">
      <c r="B11" s="13"/>
      <c r="D11" s="3"/>
      <c r="E11" s="3"/>
      <c r="F11" s="14" t="str">
        <f>IF(Tablo13[[#This Row],[SATIŞ]]=0,"Açık",(E11-D11)*C11-3)</f>
        <v>Açık</v>
      </c>
      <c r="G11" s="15">
        <f>IF(Tablo13[[#This Row],[ALIŞ]]&gt;0,Tablo13[[#This Row],[ADET]]*Tablo13[[#This Row],[ALIŞ]]+1.5,0)</f>
        <v>0</v>
      </c>
      <c r="H11" s="15">
        <f>IF(Tablo13[[#This Row],[SATIŞ]]&gt;0,(Tablo13[[#This Row],[ADET]]*Tablo13[[#This Row],[SATIŞ]]-1.5),0)</f>
        <v>0</v>
      </c>
      <c r="J11">
        <f>+Tablo13[[#This Row],[ALIŞ]]*1.02</f>
        <v>0</v>
      </c>
    </row>
    <row r="12" spans="2:18" ht="21" customHeight="1" x14ac:dyDescent="0.3">
      <c r="B12" s="13"/>
      <c r="D12" s="3"/>
      <c r="E12" s="3"/>
      <c r="F12" s="14" t="str">
        <f>IF(Tablo13[[#This Row],[SATIŞ]]=0,"Açık",(E12-D12)*C12-3)</f>
        <v>Açık</v>
      </c>
      <c r="G12" s="15">
        <f>IF(Tablo13[[#This Row],[ALIŞ]]&gt;0,Tablo13[[#This Row],[ADET]]*Tablo13[[#This Row],[ALIŞ]]+1.5,0)</f>
        <v>0</v>
      </c>
      <c r="H12" s="15">
        <f>IF(Tablo13[[#This Row],[SATIŞ]]&gt;0,(Tablo13[[#This Row],[ADET]]*Tablo13[[#This Row],[SATIŞ]]-1.5),0)</f>
        <v>0</v>
      </c>
    </row>
    <row r="13" spans="2:18" ht="21" customHeight="1" x14ac:dyDescent="0.3">
      <c r="B13" s="13"/>
      <c r="D13" s="3"/>
      <c r="E13" s="3"/>
      <c r="F13" s="14" t="str">
        <f>IF(Tablo13[[#This Row],[SATIŞ]]=0,"Açık",(E13-D13)*C13-3)</f>
        <v>Açık</v>
      </c>
      <c r="G13" s="15">
        <f>IF(Tablo13[[#This Row],[ALIŞ]]&gt;0,Tablo13[[#This Row],[ADET]]*Tablo13[[#This Row],[ALIŞ]]+1.5,0)</f>
        <v>0</v>
      </c>
      <c r="H13" s="15">
        <f>IF(Tablo13[[#This Row],[SATIŞ]]&gt;0,(Tablo13[[#This Row],[ADET]]*Tablo13[[#This Row],[SATIŞ]]-1.5),0)</f>
        <v>0</v>
      </c>
    </row>
    <row r="14" spans="2:18" ht="21" customHeight="1" x14ac:dyDescent="0.3">
      <c r="B14" s="13"/>
      <c r="D14" s="3"/>
      <c r="E14" s="3"/>
      <c r="F14" s="14" t="str">
        <f>IF(Tablo13[[#This Row],[SATIŞ]]=0,"Açık",(E14-D14)*C14-3)</f>
        <v>Açık</v>
      </c>
      <c r="G14" s="15">
        <f>IF(Tablo13[[#This Row],[ALIŞ]]&gt;0,Tablo13[[#This Row],[ADET]]*Tablo13[[#This Row],[ALIŞ]]+1.5,0)</f>
        <v>0</v>
      </c>
      <c r="H14" s="15">
        <f>IF(Tablo13[[#This Row],[SATIŞ]]&gt;0,(Tablo13[[#This Row],[ADET]]*Tablo13[[#This Row],[SATIŞ]]-1.5),0)</f>
        <v>0</v>
      </c>
    </row>
    <row r="15" spans="2:18" ht="21" customHeight="1" x14ac:dyDescent="0.3">
      <c r="B15" s="13"/>
      <c r="D15" s="3"/>
      <c r="E15" s="3"/>
      <c r="F15" s="14" t="str">
        <f>IF(Tablo13[[#This Row],[SATIŞ]]=0,"Açık",(E15-D15)*C15-3)</f>
        <v>Açık</v>
      </c>
      <c r="G15" s="15">
        <f>IF(Tablo13[[#This Row],[ALIŞ]]&gt;0,Tablo13[[#This Row],[ADET]]*Tablo13[[#This Row],[ALIŞ]]+1.5,0)</f>
        <v>0</v>
      </c>
      <c r="H15" s="15">
        <f>IF(Tablo13[[#This Row],[SATIŞ]]&gt;0,(Tablo13[[#This Row],[ADET]]*Tablo13[[#This Row],[SATIŞ]]-1.5),0)</f>
        <v>0</v>
      </c>
    </row>
    <row r="16" spans="2:18" ht="21" customHeight="1" x14ac:dyDescent="0.3">
      <c r="B16" s="13"/>
      <c r="D16" s="3"/>
      <c r="E16" s="3"/>
      <c r="F16" s="14" t="str">
        <f>IF(Tablo13[[#This Row],[SATIŞ]]=0,"Açık",(E16-D16)*C16-3)</f>
        <v>Açık</v>
      </c>
      <c r="G16" s="15">
        <f>IF(Tablo13[[#This Row],[ALIŞ]]&gt;0,Tablo13[[#This Row],[ADET]]*Tablo13[[#This Row],[ALIŞ]]+1.5,0)</f>
        <v>0</v>
      </c>
      <c r="H16" s="15">
        <f>IF(Tablo13[[#This Row],[SATIŞ]]&gt;0,(Tablo13[[#This Row],[ADET]]*Tablo13[[#This Row],[SATIŞ]]-1.5),0)</f>
        <v>0</v>
      </c>
    </row>
    <row r="17" spans="2:8" ht="21" customHeight="1" x14ac:dyDescent="0.3">
      <c r="B17" s="13"/>
      <c r="D17" s="3"/>
      <c r="E17" s="3"/>
      <c r="F17" s="14" t="str">
        <f>IF(Tablo13[[#This Row],[SATIŞ]]=0,"Açık",(E17-D17)*C17-3)</f>
        <v>Açık</v>
      </c>
      <c r="G17" s="15">
        <f>IF(Tablo13[[#This Row],[ALIŞ]]&gt;0,Tablo13[[#This Row],[ADET]]*Tablo13[[#This Row],[ALIŞ]]+1.5,0)</f>
        <v>0</v>
      </c>
      <c r="H17" s="15">
        <f>IF(Tablo13[[#This Row],[SATIŞ]]&gt;0,(Tablo13[[#This Row],[ADET]]*Tablo13[[#This Row],[SATIŞ]]-1.5),0)</f>
        <v>0</v>
      </c>
    </row>
    <row r="18" spans="2:8" ht="21" customHeight="1" x14ac:dyDescent="0.3">
      <c r="B18" s="13"/>
      <c r="D18" s="3"/>
      <c r="E18" s="3"/>
      <c r="F18" s="14" t="str">
        <f>IF(Tablo13[[#This Row],[SATIŞ]]=0,"Açık",(E18-D18)*C18-3)</f>
        <v>Açık</v>
      </c>
      <c r="G18" s="15">
        <f>IF(Tablo13[[#This Row],[ALIŞ]]&gt;0,Tablo13[[#This Row],[ADET]]*Tablo13[[#This Row],[ALIŞ]]+1.5,0)</f>
        <v>0</v>
      </c>
      <c r="H18" s="15">
        <f>IF(Tablo13[[#This Row],[SATIŞ]]&gt;0,(Tablo13[[#This Row],[ADET]]*Tablo13[[#This Row],[SATIŞ]]-1.5),0)</f>
        <v>0</v>
      </c>
    </row>
    <row r="19" spans="2:8" ht="21" customHeight="1" x14ac:dyDescent="0.3">
      <c r="B19" s="13"/>
      <c r="D19" s="3"/>
      <c r="E19" s="3"/>
      <c r="F19" s="14" t="str">
        <f>IF(Tablo13[[#This Row],[SATIŞ]]=0,"Açık",(E19-D19)*C19-3)</f>
        <v>Açık</v>
      </c>
      <c r="G19" s="15">
        <f>IF(Tablo13[[#This Row],[ALIŞ]]&gt;0,Tablo13[[#This Row],[ADET]]*Tablo13[[#This Row],[ALIŞ]]+1.5,0)</f>
        <v>0</v>
      </c>
      <c r="H19" s="15">
        <f>IF(Tablo13[[#This Row],[SATIŞ]]&gt;0,(Tablo13[[#This Row],[ADET]]*Tablo13[[#This Row],[SATIŞ]]-1.5),0)</f>
        <v>0</v>
      </c>
    </row>
    <row r="20" spans="2:8" ht="21" customHeight="1" x14ac:dyDescent="0.3">
      <c r="B20" s="13"/>
      <c r="D20" s="3"/>
      <c r="E20" s="3"/>
      <c r="F20" s="14" t="str">
        <f>IF(Tablo13[[#This Row],[SATIŞ]]=0,"Açık",(E20-D20)*C20-3)</f>
        <v>Açık</v>
      </c>
      <c r="G20" s="15">
        <f>IF(Tablo13[[#This Row],[ALIŞ]]&gt;0,Tablo13[[#This Row],[ADET]]*Tablo13[[#This Row],[ALIŞ]]+1.5,0)</f>
        <v>0</v>
      </c>
      <c r="H20" s="15">
        <f>IF(Tablo13[[#This Row],[SATIŞ]]&gt;0,(Tablo13[[#This Row],[ADET]]*Tablo13[[#This Row],[SATIŞ]]-1.5),0)</f>
        <v>0</v>
      </c>
    </row>
    <row r="21" spans="2:8" ht="21" customHeight="1" x14ac:dyDescent="0.3">
      <c r="B21" s="13"/>
      <c r="D21" s="3"/>
      <c r="E21" s="3"/>
      <c r="F21" s="14" t="str">
        <f>IF(Tablo13[[#This Row],[SATIŞ]]=0,"Açık",(E21-D21)*C21-3)</f>
        <v>Açık</v>
      </c>
      <c r="G21" s="15">
        <f>IF(Tablo13[[#This Row],[ALIŞ]]&gt;0,Tablo13[[#This Row],[ADET]]*Tablo13[[#This Row],[ALIŞ]]+1.5,0)</f>
        <v>0</v>
      </c>
      <c r="H21" s="15">
        <f>IF(Tablo13[[#This Row],[SATIŞ]]&gt;0,(Tablo13[[#This Row],[ADET]]*Tablo13[[#This Row],[SATIŞ]]-1.5),0)</f>
        <v>0</v>
      </c>
    </row>
    <row r="22" spans="2:8" ht="21" customHeight="1" x14ac:dyDescent="0.3">
      <c r="B22" s="13"/>
      <c r="D22" s="3"/>
      <c r="E22" s="3"/>
      <c r="F22" s="14" t="str">
        <f>IF(Tablo13[[#This Row],[SATIŞ]]=0,"Açık",(E22-D22)*C22-3)</f>
        <v>Açık</v>
      </c>
      <c r="G22" s="15">
        <f>IF(Tablo13[[#This Row],[ALIŞ]]&gt;0,Tablo13[[#This Row],[ADET]]*Tablo13[[#This Row],[ALIŞ]]+1.5,0)</f>
        <v>0</v>
      </c>
      <c r="H22" s="15">
        <f>IF(Tablo13[[#This Row],[SATIŞ]]&gt;0,(Tablo13[[#This Row],[ADET]]*Tablo13[[#This Row],[SATIŞ]]-1.5),0)</f>
        <v>0</v>
      </c>
    </row>
    <row r="23" spans="2:8" ht="21" customHeight="1" x14ac:dyDescent="0.3">
      <c r="B23" s="13"/>
      <c r="D23" s="3"/>
      <c r="E23" s="3"/>
      <c r="F23" s="14" t="str">
        <f>IF(Tablo13[[#This Row],[SATIŞ]]=0,"Açık",(E23-D23)*C23-3)</f>
        <v>Açık</v>
      </c>
      <c r="G23" s="15">
        <f>IF(Tablo13[[#This Row],[ALIŞ]]&gt;0,Tablo13[[#This Row],[ADET]]*Tablo13[[#This Row],[ALIŞ]]+1.5,0)</f>
        <v>0</v>
      </c>
      <c r="H23" s="15">
        <f>IF(Tablo13[[#This Row],[SATIŞ]]&gt;0,(Tablo13[[#This Row],[ADET]]*Tablo13[[#This Row],[SATIŞ]]-1.5),0)</f>
        <v>0</v>
      </c>
    </row>
    <row r="24" spans="2:8" ht="21" customHeight="1" x14ac:dyDescent="0.3">
      <c r="B24" s="13"/>
      <c r="D24" s="3"/>
      <c r="E24" s="3"/>
      <c r="F24" s="14" t="str">
        <f>IF(Tablo13[[#This Row],[SATIŞ]]=0,"Açık",(E24-D24)*C24-3)</f>
        <v>Açık</v>
      </c>
      <c r="G24" s="15">
        <f>IF(Tablo13[[#This Row],[ALIŞ]]&gt;0,Tablo13[[#This Row],[ADET]]*Tablo13[[#This Row],[ALIŞ]]+1.5,0)</f>
        <v>0</v>
      </c>
      <c r="H24" s="15">
        <f>IF(Tablo13[[#This Row],[SATIŞ]]&gt;0,(Tablo13[[#This Row],[ADET]]*Tablo13[[#This Row],[SATIŞ]]-1.5),0)</f>
        <v>0</v>
      </c>
    </row>
    <row r="25" spans="2:8" ht="21" customHeight="1" x14ac:dyDescent="0.3">
      <c r="B25" s="13"/>
      <c r="D25" s="3"/>
      <c r="E25" s="3"/>
      <c r="F25" s="14" t="str">
        <f>IF(Tablo13[[#This Row],[SATIŞ]]=0,"Açık",(E25-D25)*C25-3)</f>
        <v>Açık</v>
      </c>
      <c r="G25" s="15">
        <f>IF(Tablo13[[#This Row],[ALIŞ]]&gt;0,Tablo13[[#This Row],[ADET]]*Tablo13[[#This Row],[ALIŞ]]+1.5,0)</f>
        <v>0</v>
      </c>
      <c r="H25" s="15">
        <f>IF(Tablo13[[#This Row],[SATIŞ]]&gt;0,(Tablo13[[#This Row],[ADET]]*Tablo13[[#This Row],[SATIŞ]]-1.5),0)</f>
        <v>0</v>
      </c>
    </row>
    <row r="26" spans="2:8" ht="21" customHeight="1" x14ac:dyDescent="0.3">
      <c r="B26" s="13"/>
      <c r="D26" s="3"/>
      <c r="E26" s="3"/>
      <c r="F26" s="14" t="str">
        <f>IF(Tablo13[[#This Row],[SATIŞ]]=0,"Açık",(E26-D26)*C26-3)</f>
        <v>Açık</v>
      </c>
      <c r="G26" s="15">
        <f>IF(Tablo13[[#This Row],[ALIŞ]]&gt;0,Tablo13[[#This Row],[ADET]]*Tablo13[[#This Row],[ALIŞ]]+1.5,0)</f>
        <v>0</v>
      </c>
      <c r="H26" s="15">
        <f>IF(Tablo13[[#This Row],[SATIŞ]]&gt;0,(Tablo13[[#This Row],[ADET]]*Tablo13[[#This Row],[SATIŞ]]-1.5),0)</f>
        <v>0</v>
      </c>
    </row>
    <row r="27" spans="2:8" ht="21" customHeight="1" x14ac:dyDescent="0.3">
      <c r="B27" s="13"/>
      <c r="D27" s="3"/>
      <c r="E27" s="3"/>
      <c r="F27" s="14" t="str">
        <f>IF(Tablo13[[#This Row],[SATIŞ]]=0,"Açık",(E27-D27)*C27-3)</f>
        <v>Açık</v>
      </c>
      <c r="G27" s="15">
        <f>IF(Tablo13[[#This Row],[ALIŞ]]&gt;0,Tablo13[[#This Row],[ADET]]*Tablo13[[#This Row],[ALIŞ]]+1.5,0)</f>
        <v>0</v>
      </c>
      <c r="H27" s="15">
        <f>IF(Tablo13[[#This Row],[SATIŞ]]&gt;0,(Tablo13[[#This Row],[ADET]]*Tablo13[[#This Row],[SATIŞ]]-1.5),0)</f>
        <v>0</v>
      </c>
    </row>
  </sheetData>
  <conditionalFormatting sqref="B4:E4 B5:F27">
    <cfRule type="expression" dxfId="41" priority="4">
      <formula>$F4&lt;0</formula>
    </cfRule>
    <cfRule type="expression" dxfId="40" priority="5">
      <formula>$F4="Açık"</formula>
    </cfRule>
    <cfRule type="expression" dxfId="39" priority="6">
      <formula>$F4&gt;0</formula>
    </cfRule>
  </conditionalFormatting>
  <conditionalFormatting sqref="F4">
    <cfRule type="expression" dxfId="38" priority="1">
      <formula>$F4&lt;0</formula>
    </cfRule>
    <cfRule type="expression" dxfId="37" priority="2">
      <formula>$F4="Açık"</formula>
    </cfRule>
    <cfRule type="expression" dxfId="36" priority="3">
      <formula>$F4&gt;0</formula>
    </cfRule>
  </conditionalFormatting>
  <hyperlinks>
    <hyperlink ref="B1" location="İcmal!A1" display="ANA SAYFA" xr:uid="{4361F8D9-23C4-4C03-991A-07486FDEACF0}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1536-142D-45F1-973E-939D4D5E67F3}">
  <dimension ref="B1:R27"/>
  <sheetViews>
    <sheetView topLeftCell="A7" workbookViewId="0">
      <selection activeCell="E21" sqref="E21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SUMIF(Tablo134262728293031323334[KAR],"Açık",Tablo134262728293031323334[ADET])</f>
        <v>5</v>
      </c>
      <c r="D1" s="16">
        <f>+İcmal!E34</f>
        <v>180.74</v>
      </c>
      <c r="E1" s="16">
        <f>C1*D1</f>
        <v>903.7</v>
      </c>
      <c r="F1" s="16">
        <f>IFERROR(((SUM(Tablo134262728293031323334[ALIŞ TUTAR])-SUM(Tablo134262728293031323334[SATIŞ TUTAR]))/C1),"")</f>
        <v>219.01199999999955</v>
      </c>
      <c r="G1" s="3">
        <f>IF(M3=0,L3,C1*(D1-F1))</f>
        <v>-191.35999999999768</v>
      </c>
      <c r="J1" s="4">
        <v>0.02</v>
      </c>
      <c r="L1" s="5">
        <f>M1*(1-$J$1)</f>
        <v>214.63175999999956</v>
      </c>
      <c r="M1" s="6">
        <f>F1</f>
        <v>219.01199999999955</v>
      </c>
      <c r="N1" s="5">
        <f>M1*(1+$J$1)</f>
        <v>223.39223999999953</v>
      </c>
      <c r="P1" s="5">
        <f>Q1*(1-$J$1)</f>
        <v>177.12520000000001</v>
      </c>
      <c r="Q1" s="6">
        <f>+D1</f>
        <v>180.74</v>
      </c>
      <c r="R1" s="5">
        <f>Q1*(1+$J$1)</f>
        <v>184.35480000000001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SUM(Tablo134262728293031323334[KAR])</f>
        <v>-208.55999999999963</v>
      </c>
      <c r="M3" s="12">
        <f>C1</f>
        <v>5</v>
      </c>
    </row>
    <row r="4" spans="2:18" ht="21" customHeight="1" x14ac:dyDescent="0.3">
      <c r="B4" s="13">
        <v>45328</v>
      </c>
      <c r="C4" s="8">
        <v>3</v>
      </c>
      <c r="D4" s="16">
        <v>180.79</v>
      </c>
      <c r="E4" s="16">
        <v>189</v>
      </c>
      <c r="F4" s="17">
        <f>IF(Tablo134262728293031323334[[#This Row],[SATIŞ]]=0,"Açık",(E4-D4)*C4-3)</f>
        <v>21.630000000000024</v>
      </c>
      <c r="G4" s="15">
        <f>IF(Tablo134262728293031323334[[#This Row],[ALIŞ]]&gt;0,Tablo134262728293031323334[[#This Row],[ADET]]*Tablo134262728293031323334[[#This Row],[ALIŞ]]+1.5,0)</f>
        <v>543.87</v>
      </c>
      <c r="H4" s="15">
        <f>IF(Tablo134262728293031323334[[#This Row],[SATIŞ]]&gt;0,(Tablo134262728293031323334[[#This Row],[ADET]]*Tablo134262728293031323334[[#This Row],[SATIŞ]]-1.5),0)</f>
        <v>565.5</v>
      </c>
      <c r="L4" s="5"/>
      <c r="M4" s="5"/>
      <c r="N4" s="5"/>
    </row>
    <row r="5" spans="2:18" ht="21" customHeight="1" x14ac:dyDescent="0.3">
      <c r="B5" s="13">
        <v>45328</v>
      </c>
      <c r="C5" s="8">
        <v>3</v>
      </c>
      <c r="D5" s="16">
        <v>180.79</v>
      </c>
      <c r="E5" s="16">
        <v>192</v>
      </c>
      <c r="F5" s="17">
        <f>IF(Tablo134262728293031323334[[#This Row],[SATIŞ]]=0,"Açık",(E5-D5)*C5-3)</f>
        <v>30.630000000000024</v>
      </c>
      <c r="G5" s="15">
        <f>IF(Tablo134262728293031323334[[#This Row],[ALIŞ]]&gt;0,Tablo134262728293031323334[[#This Row],[ADET]]*Tablo134262728293031323334[[#This Row],[ALIŞ]]+1.5,0)</f>
        <v>543.87</v>
      </c>
      <c r="H5" s="15">
        <f>IF(Tablo134262728293031323334[[#This Row],[SATIŞ]]&gt;0,(Tablo134262728293031323334[[#This Row],[ADET]]*Tablo134262728293031323334[[#This Row],[SATIŞ]]-1.5),0)</f>
        <v>574.5</v>
      </c>
    </row>
    <row r="6" spans="2:18" ht="21" customHeight="1" x14ac:dyDescent="0.3">
      <c r="B6" s="13">
        <v>45334</v>
      </c>
      <c r="C6" s="8">
        <v>5</v>
      </c>
      <c r="D6" s="16">
        <v>191.45</v>
      </c>
      <c r="E6" s="16">
        <v>195</v>
      </c>
      <c r="F6" s="17">
        <f>IF(Tablo134262728293031323334[[#This Row],[SATIŞ]]=0,"Açık",(E6-D6)*C6-3)</f>
        <v>14.750000000000057</v>
      </c>
      <c r="G6" s="15">
        <f>IF(Tablo134262728293031323334[[#This Row],[ALIŞ]]&gt;0,Tablo134262728293031323334[[#This Row],[ADET]]*Tablo134262728293031323334[[#This Row],[ALIŞ]]+1.5,0)</f>
        <v>958.75</v>
      </c>
      <c r="H6" s="15">
        <f>IF(Tablo134262728293031323334[[#This Row],[SATIŞ]]&gt;0,(Tablo134262728293031323334[[#This Row],[ADET]]*Tablo134262728293031323334[[#This Row],[SATIŞ]]-1.5),0)</f>
        <v>973.5</v>
      </c>
    </row>
    <row r="7" spans="2:18" ht="21" customHeight="1" x14ac:dyDescent="0.3">
      <c r="B7" s="13">
        <v>45334</v>
      </c>
      <c r="C7" s="8">
        <v>10</v>
      </c>
      <c r="D7" s="16">
        <v>188.7</v>
      </c>
      <c r="E7" s="16">
        <v>175.68</v>
      </c>
      <c r="F7" s="17">
        <f>IF(Tablo134262728293031323334[[#This Row],[SATIŞ]]=0,"Açık",(E7-D7)*C7-3)</f>
        <v>-133.19999999999982</v>
      </c>
      <c r="G7" s="15">
        <f>IF(Tablo134262728293031323334[[#This Row],[ALIŞ]]&gt;0,Tablo134262728293031323334[[#This Row],[ADET]]*Tablo134262728293031323334[[#This Row],[ALIŞ]]+1.5,0)</f>
        <v>1888.5</v>
      </c>
      <c r="H7" s="15">
        <f>IF(Tablo134262728293031323334[[#This Row],[SATIŞ]]&gt;0,(Tablo134262728293031323334[[#This Row],[ADET]]*Tablo134262728293031323334[[#This Row],[SATIŞ]]-1.5),0)</f>
        <v>1755.3000000000002</v>
      </c>
    </row>
    <row r="8" spans="2:18" ht="21" customHeight="1" x14ac:dyDescent="0.3">
      <c r="B8" s="13">
        <v>45335</v>
      </c>
      <c r="C8" s="8">
        <v>3</v>
      </c>
      <c r="D8" s="16">
        <v>182</v>
      </c>
      <c r="E8" s="16">
        <v>192</v>
      </c>
      <c r="F8" s="17">
        <f>IF(Tablo134262728293031323334[[#This Row],[SATIŞ]]=0,"Açık",(E8-D8)*C8-3)</f>
        <v>27</v>
      </c>
      <c r="G8" s="15">
        <f>IF(Tablo134262728293031323334[[#This Row],[ALIŞ]]&gt;0,Tablo134262728293031323334[[#This Row],[ADET]]*Tablo134262728293031323334[[#This Row],[ALIŞ]]+1.5,0)</f>
        <v>547.5</v>
      </c>
      <c r="H8" s="15">
        <f>IF(Tablo134262728293031323334[[#This Row],[SATIŞ]]&gt;0,(Tablo134262728293031323334[[#This Row],[ADET]]*Tablo134262728293031323334[[#This Row],[SATIŞ]]-1.5),0)</f>
        <v>574.5</v>
      </c>
    </row>
    <row r="9" spans="2:18" ht="21" customHeight="1" x14ac:dyDescent="0.3">
      <c r="B9" s="13">
        <v>45342</v>
      </c>
      <c r="C9" s="8">
        <v>17</v>
      </c>
      <c r="D9" s="16">
        <v>190.06</v>
      </c>
      <c r="E9" s="16">
        <v>195</v>
      </c>
      <c r="F9" s="17">
        <f>IF(Tablo134262728293031323334[[#This Row],[SATIŞ]]=0,"Açık",(E9-D9)*C9-3)</f>
        <v>80.979999999999961</v>
      </c>
      <c r="G9" s="15">
        <f>IF(Tablo134262728293031323334[[#This Row],[ALIŞ]]&gt;0,Tablo134262728293031323334[[#This Row],[ADET]]*Tablo134262728293031323334[[#This Row],[ALIŞ]]+1.5,0)</f>
        <v>3232.52</v>
      </c>
      <c r="H9" s="15">
        <f>IF(Tablo134262728293031323334[[#This Row],[SATIŞ]]&gt;0,(Tablo134262728293031323334[[#This Row],[ADET]]*Tablo134262728293031323334[[#This Row],[SATIŞ]]-1.5),0)</f>
        <v>3313.5</v>
      </c>
    </row>
    <row r="10" spans="2:18" ht="21" customHeight="1" x14ac:dyDescent="0.3">
      <c r="B10" s="13">
        <v>45345</v>
      </c>
      <c r="C10" s="8">
        <v>5</v>
      </c>
      <c r="D10" s="16">
        <v>195</v>
      </c>
      <c r="E10" s="16">
        <v>198.76</v>
      </c>
      <c r="F10" s="17">
        <f>IF(Tablo134262728293031323334[[#This Row],[SATIŞ]]=0,"Açık",(E10-D10)*C10-3)</f>
        <v>15.799999999999955</v>
      </c>
      <c r="G10" s="15">
        <f>IF(Tablo134262728293031323334[[#This Row],[ALIŞ]]&gt;0,Tablo134262728293031323334[[#This Row],[ADET]]*Tablo134262728293031323334[[#This Row],[ALIŞ]]+1.5,0)</f>
        <v>976.5</v>
      </c>
      <c r="H10" s="15">
        <f>IF(Tablo134262728293031323334[[#This Row],[SATIŞ]]&gt;0,(Tablo134262728293031323334[[#This Row],[ADET]]*Tablo134262728293031323334[[#This Row],[SATIŞ]]-1.5),0)</f>
        <v>992.3</v>
      </c>
    </row>
    <row r="11" spans="2:18" ht="21" customHeight="1" x14ac:dyDescent="0.3">
      <c r="B11" s="13">
        <v>45345</v>
      </c>
      <c r="C11" s="8">
        <v>5</v>
      </c>
      <c r="D11" s="16">
        <v>195</v>
      </c>
      <c r="E11" s="16">
        <v>200</v>
      </c>
      <c r="F11" s="17">
        <f>IF(Tablo134262728293031323334[[#This Row],[SATIŞ]]=0,"Açık",(E11-D11)*C11-3)</f>
        <v>22</v>
      </c>
      <c r="G11" s="15">
        <f>IF(Tablo134262728293031323334[[#This Row],[ALIŞ]]&gt;0,Tablo134262728293031323334[[#This Row],[ADET]]*Tablo134262728293031323334[[#This Row],[ALIŞ]]+1.5,0)</f>
        <v>976.5</v>
      </c>
      <c r="H11" s="15">
        <f>IF(Tablo134262728293031323334[[#This Row],[SATIŞ]]&gt;0,(Tablo134262728293031323334[[#This Row],[ADET]]*Tablo134262728293031323334[[#This Row],[SATIŞ]]-1.5),0)</f>
        <v>998.5</v>
      </c>
      <c r="J11">
        <f>+Tablo134262728293031323334[[#This Row],[ALIŞ]]*1.02</f>
        <v>198.9</v>
      </c>
    </row>
    <row r="12" spans="2:18" ht="21" customHeight="1" x14ac:dyDescent="0.3">
      <c r="B12" s="13">
        <v>45355</v>
      </c>
      <c r="C12" s="8">
        <v>5</v>
      </c>
      <c r="D12" s="16">
        <v>195</v>
      </c>
      <c r="E12" s="16">
        <v>175.68</v>
      </c>
      <c r="F12" s="17">
        <f>IF(Tablo134262728293031323334[[#This Row],[SATIŞ]]=0,"Açık",(E12-D12)*C12-3)</f>
        <v>-99.599999999999966</v>
      </c>
      <c r="G12" s="15">
        <f>IF(Tablo134262728293031323334[[#This Row],[ALIŞ]]&gt;0,Tablo134262728293031323334[[#This Row],[ADET]]*Tablo134262728293031323334[[#This Row],[ALIŞ]]+1.5,0)</f>
        <v>976.5</v>
      </c>
      <c r="H12" s="15">
        <f>IF(Tablo134262728293031323334[[#This Row],[SATIŞ]]&gt;0,(Tablo134262728293031323334[[#This Row],[ADET]]*Tablo134262728293031323334[[#This Row],[SATIŞ]]-1.5),0)</f>
        <v>876.90000000000009</v>
      </c>
    </row>
    <row r="13" spans="2:18" ht="21" customHeight="1" x14ac:dyDescent="0.3">
      <c r="B13" s="13">
        <v>45355</v>
      </c>
      <c r="C13" s="8">
        <v>5</v>
      </c>
      <c r="D13" s="16">
        <v>190</v>
      </c>
      <c r="E13" s="16">
        <v>175.68</v>
      </c>
      <c r="F13" s="17">
        <f>IF(Tablo134262728293031323334[[#This Row],[SATIŞ]]=0,"Açık",(E13-D13)*C13-3)</f>
        <v>-74.599999999999966</v>
      </c>
      <c r="G13" s="15">
        <f>IF(Tablo134262728293031323334[[#This Row],[ALIŞ]]&gt;0,Tablo134262728293031323334[[#This Row],[ADET]]*Tablo134262728293031323334[[#This Row],[ALIŞ]]+1.5,0)</f>
        <v>951.5</v>
      </c>
      <c r="H13" s="15">
        <f>IF(Tablo134262728293031323334[[#This Row],[SATIŞ]]&gt;0,(Tablo134262728293031323334[[#This Row],[ADET]]*Tablo134262728293031323334[[#This Row],[SATIŞ]]-1.5),0)</f>
        <v>876.90000000000009</v>
      </c>
    </row>
    <row r="14" spans="2:18" ht="21" customHeight="1" x14ac:dyDescent="0.3">
      <c r="B14" s="13">
        <v>45355</v>
      </c>
      <c r="C14" s="8">
        <v>5</v>
      </c>
      <c r="D14" s="16">
        <v>190</v>
      </c>
      <c r="E14" s="16">
        <v>175.68</v>
      </c>
      <c r="F14" s="17">
        <f>IF(Tablo134262728293031323334[[#This Row],[SATIŞ]]=0,"Açık",(E14-D14)*C14-3)</f>
        <v>-74.599999999999966</v>
      </c>
      <c r="G14" s="15">
        <f>IF(Tablo134262728293031323334[[#This Row],[ALIŞ]]&gt;0,Tablo134262728293031323334[[#This Row],[ADET]]*Tablo134262728293031323334[[#This Row],[ALIŞ]]+1.5,0)</f>
        <v>951.5</v>
      </c>
      <c r="H14" s="15">
        <f>IF(Tablo134262728293031323334[[#This Row],[SATIŞ]]&gt;0,(Tablo134262728293031323334[[#This Row],[ADET]]*Tablo134262728293031323334[[#This Row],[SATIŞ]]-1.5),0)</f>
        <v>876.90000000000009</v>
      </c>
    </row>
    <row r="15" spans="2:18" ht="21" customHeight="1" x14ac:dyDescent="0.3">
      <c r="B15" s="13">
        <v>45356</v>
      </c>
      <c r="C15" s="8">
        <v>5</v>
      </c>
      <c r="D15" s="16">
        <v>184.71</v>
      </c>
      <c r="E15" s="16">
        <v>175.68</v>
      </c>
      <c r="F15" s="17">
        <f>IF(Tablo134262728293031323334[[#This Row],[SATIŞ]]=0,"Açık",(E15-D15)*C15-3)</f>
        <v>-48.150000000000006</v>
      </c>
      <c r="G15" s="15">
        <f>IF(Tablo134262728293031323334[[#This Row],[ALIŞ]]&gt;0,Tablo134262728293031323334[[#This Row],[ADET]]*Tablo134262728293031323334[[#This Row],[ALIŞ]]+1.5,0)</f>
        <v>925.05000000000007</v>
      </c>
      <c r="H15" s="15">
        <f>IF(Tablo134262728293031323334[[#This Row],[SATIŞ]]&gt;0,(Tablo134262728293031323334[[#This Row],[ADET]]*Tablo134262728293031323334[[#This Row],[SATIŞ]]-1.5),0)</f>
        <v>876.90000000000009</v>
      </c>
    </row>
    <row r="16" spans="2:18" ht="21" customHeight="1" x14ac:dyDescent="0.3">
      <c r="B16" s="13">
        <v>45356</v>
      </c>
      <c r="C16" s="8">
        <v>5</v>
      </c>
      <c r="D16" s="16">
        <v>180</v>
      </c>
      <c r="E16" s="16">
        <v>181</v>
      </c>
      <c r="F16" s="17">
        <f>IF(Tablo134262728293031323334[[#This Row],[SATIŞ]]=0,"Açık",(E16-D16)*C16-3)</f>
        <v>2</v>
      </c>
      <c r="G16" s="15">
        <f>IF(Tablo134262728293031323334[[#This Row],[ALIŞ]]&gt;0,Tablo134262728293031323334[[#This Row],[ADET]]*Tablo134262728293031323334[[#This Row],[ALIŞ]]+1.5,0)</f>
        <v>901.5</v>
      </c>
      <c r="H16" s="15">
        <f>IF(Tablo134262728293031323334[[#This Row],[SATIŞ]]&gt;0,(Tablo134262728293031323334[[#This Row],[ADET]]*Tablo134262728293031323334[[#This Row],[SATIŞ]]-1.5),0)</f>
        <v>903.5</v>
      </c>
    </row>
    <row r="17" spans="2:8" ht="21" customHeight="1" x14ac:dyDescent="0.3">
      <c r="B17" s="13">
        <v>45356</v>
      </c>
      <c r="C17" s="8">
        <v>5</v>
      </c>
      <c r="D17" s="16">
        <v>179</v>
      </c>
      <c r="E17" s="16">
        <v>182</v>
      </c>
      <c r="F17" s="17">
        <f>IF(Tablo134262728293031323334[[#This Row],[SATIŞ]]=0,"Açık",(E17-D17)*C17-3)</f>
        <v>12</v>
      </c>
      <c r="G17" s="15">
        <f>IF(Tablo134262728293031323334[[#This Row],[ALIŞ]]&gt;0,Tablo134262728293031323334[[#This Row],[ADET]]*Tablo134262728293031323334[[#This Row],[ALIŞ]]+1.5,0)</f>
        <v>896.5</v>
      </c>
      <c r="H17" s="15">
        <f>IF(Tablo134262728293031323334[[#This Row],[SATIŞ]]&gt;0,(Tablo134262728293031323334[[#This Row],[ADET]]*Tablo134262728293031323334[[#This Row],[SATIŞ]]-1.5),0)</f>
        <v>908.5</v>
      </c>
    </row>
    <row r="18" spans="2:8" ht="21" customHeight="1" x14ac:dyDescent="0.3">
      <c r="B18" s="13">
        <v>45356</v>
      </c>
      <c r="C18" s="8">
        <v>5</v>
      </c>
      <c r="D18" s="16">
        <v>179</v>
      </c>
      <c r="E18" s="16">
        <v>180</v>
      </c>
      <c r="F18" s="17">
        <f>IF(Tablo134262728293031323334[[#This Row],[SATIŞ]]=0,"Açık",(E18-D18)*C18-3)</f>
        <v>2</v>
      </c>
      <c r="G18" s="15">
        <f>IF(Tablo134262728293031323334[[#This Row],[ALIŞ]]&gt;0,Tablo134262728293031323334[[#This Row],[ADET]]*Tablo134262728293031323334[[#This Row],[ALIŞ]]+1.5,0)</f>
        <v>896.5</v>
      </c>
      <c r="H18" s="15">
        <f>IF(Tablo134262728293031323334[[#This Row],[SATIŞ]]&gt;0,(Tablo134262728293031323334[[#This Row],[ADET]]*Tablo134262728293031323334[[#This Row],[SATIŞ]]-1.5),0)</f>
        <v>898.5</v>
      </c>
    </row>
    <row r="19" spans="2:8" ht="21" customHeight="1" x14ac:dyDescent="0.3">
      <c r="B19" s="13">
        <v>45356</v>
      </c>
      <c r="C19" s="8">
        <v>5</v>
      </c>
      <c r="D19" s="16">
        <v>178</v>
      </c>
      <c r="E19" s="16">
        <v>175.68</v>
      </c>
      <c r="F19" s="17">
        <f>IF(Tablo134262728293031323334[[#This Row],[SATIŞ]]=0,"Açık",(E19-D19)*C19-3)</f>
        <v>-14.599999999999966</v>
      </c>
      <c r="G19" s="15">
        <f>IF(Tablo134262728293031323334[[#This Row],[ALIŞ]]&gt;0,Tablo134262728293031323334[[#This Row],[ADET]]*Tablo134262728293031323334[[#This Row],[ALIŞ]]+1.5,0)</f>
        <v>891.5</v>
      </c>
      <c r="H19" s="15">
        <f>IF(Tablo134262728293031323334[[#This Row],[SATIŞ]]&gt;0,(Tablo134262728293031323334[[#This Row],[ADET]]*Tablo134262728293031323334[[#This Row],[SATIŞ]]-1.5),0)</f>
        <v>876.90000000000009</v>
      </c>
    </row>
    <row r="20" spans="2:8" ht="21" customHeight="1" x14ac:dyDescent="0.3">
      <c r="B20" s="13">
        <v>45356</v>
      </c>
      <c r="C20" s="8">
        <v>5</v>
      </c>
      <c r="D20" s="16">
        <v>178</v>
      </c>
      <c r="E20" s="16">
        <v>175.68</v>
      </c>
      <c r="F20" s="17">
        <f>IF(Tablo134262728293031323334[[#This Row],[SATIŞ]]=0,"Açık",(E20-D20)*C20-3)</f>
        <v>-14.599999999999966</v>
      </c>
      <c r="G20" s="15">
        <f>IF(Tablo134262728293031323334[[#This Row],[ALIŞ]]&gt;0,Tablo134262728293031323334[[#This Row],[ADET]]*Tablo134262728293031323334[[#This Row],[ALIŞ]]+1.5,0)</f>
        <v>891.5</v>
      </c>
      <c r="H20" s="15">
        <f>IF(Tablo134262728293031323334[[#This Row],[SATIŞ]]&gt;0,(Tablo134262728293031323334[[#This Row],[ADET]]*Tablo134262728293031323334[[#This Row],[SATIŞ]]-1.5),0)</f>
        <v>876.90000000000009</v>
      </c>
    </row>
    <row r="21" spans="2:8" ht="21" customHeight="1" x14ac:dyDescent="0.3">
      <c r="B21" s="13">
        <v>45357</v>
      </c>
      <c r="C21" s="8">
        <v>5</v>
      </c>
      <c r="D21" s="16">
        <v>177</v>
      </c>
      <c r="F21" s="17" t="str">
        <f>IF(Tablo134262728293031323334[[#This Row],[SATIŞ]]=0,"Açık",(E21-D21)*C21-3)</f>
        <v>Açık</v>
      </c>
      <c r="G21" s="15">
        <f>IF(Tablo134262728293031323334[[#This Row],[ALIŞ]]&gt;0,Tablo134262728293031323334[[#This Row],[ADET]]*Tablo134262728293031323334[[#This Row],[ALIŞ]]+1.5,0)</f>
        <v>886.5</v>
      </c>
      <c r="H21" s="15">
        <f>IF(Tablo134262728293031323334[[#This Row],[SATIŞ]]&gt;0,(Tablo134262728293031323334[[#This Row],[ADET]]*Tablo134262728293031323334[[#This Row],[SATIŞ]]-1.5),0)</f>
        <v>0</v>
      </c>
    </row>
    <row r="22" spans="2:8" ht="21" customHeight="1" x14ac:dyDescent="0.3">
      <c r="B22" s="13">
        <v>45357</v>
      </c>
      <c r="C22" s="8">
        <v>5</v>
      </c>
      <c r="D22" s="16">
        <v>175</v>
      </c>
      <c r="E22" s="16">
        <v>180</v>
      </c>
      <c r="F22" s="17">
        <f>IF(Tablo134262728293031323334[[#This Row],[SATIŞ]]=0,"Açık",(E22-D22)*C22-3)</f>
        <v>22</v>
      </c>
      <c r="G22" s="15">
        <f>IF(Tablo134262728293031323334[[#This Row],[ALIŞ]]&gt;0,Tablo134262728293031323334[[#This Row],[ADET]]*Tablo134262728293031323334[[#This Row],[ALIŞ]]+1.5,0)</f>
        <v>876.5</v>
      </c>
      <c r="H22" s="15">
        <f>IF(Tablo134262728293031323334[[#This Row],[SATIŞ]]&gt;0,(Tablo134262728293031323334[[#This Row],[ADET]]*Tablo134262728293031323334[[#This Row],[SATIŞ]]-1.5),0)</f>
        <v>898.5</v>
      </c>
    </row>
    <row r="23" spans="2:8" ht="21" customHeight="1" x14ac:dyDescent="0.3">
      <c r="B23" s="13"/>
      <c r="F23" s="17" t="str">
        <f>IF(Tablo134262728293031323334[[#This Row],[SATIŞ]]=0,"Açık",(E23-D23)*C23-3)</f>
        <v>Açık</v>
      </c>
      <c r="G23" s="15">
        <f>IF(Tablo134262728293031323334[[#This Row],[ALIŞ]]&gt;0,Tablo134262728293031323334[[#This Row],[ADET]]*Tablo134262728293031323334[[#This Row],[ALIŞ]]+1.5,0)</f>
        <v>0</v>
      </c>
      <c r="H23" s="15">
        <f>IF(Tablo134262728293031323334[[#This Row],[SATIŞ]]&gt;0,(Tablo134262728293031323334[[#This Row],[ADET]]*Tablo134262728293031323334[[#This Row],[SATIŞ]]-1.5),0)</f>
        <v>0</v>
      </c>
    </row>
    <row r="24" spans="2:8" ht="21" customHeight="1" x14ac:dyDescent="0.3">
      <c r="B24" s="13"/>
      <c r="F24" s="17" t="str">
        <f>IF(Tablo134262728293031323334[[#This Row],[SATIŞ]]=0,"Açık",(E24-D24)*C24-3)</f>
        <v>Açık</v>
      </c>
      <c r="G24" s="15">
        <f>IF(Tablo134262728293031323334[[#This Row],[ALIŞ]]&gt;0,Tablo134262728293031323334[[#This Row],[ADET]]*Tablo134262728293031323334[[#This Row],[ALIŞ]]+1.5,0)</f>
        <v>0</v>
      </c>
      <c r="H24" s="15">
        <f>IF(Tablo134262728293031323334[[#This Row],[SATIŞ]]&gt;0,(Tablo134262728293031323334[[#This Row],[ADET]]*Tablo134262728293031323334[[#This Row],[SATIŞ]]-1.5),0)</f>
        <v>0</v>
      </c>
    </row>
    <row r="25" spans="2:8" ht="21" customHeight="1" x14ac:dyDescent="0.3">
      <c r="B25" s="13"/>
      <c r="F25" s="17" t="str">
        <f>IF(Tablo134262728293031323334[[#This Row],[SATIŞ]]=0,"Açık",(E25-D25)*C25-3)</f>
        <v>Açık</v>
      </c>
      <c r="G25" s="15">
        <f>IF(Tablo134262728293031323334[[#This Row],[ALIŞ]]&gt;0,Tablo134262728293031323334[[#This Row],[ADET]]*Tablo134262728293031323334[[#This Row],[ALIŞ]]+1.5,0)</f>
        <v>0</v>
      </c>
      <c r="H25" s="15">
        <f>IF(Tablo134262728293031323334[[#This Row],[SATIŞ]]&gt;0,(Tablo134262728293031323334[[#This Row],[ADET]]*Tablo134262728293031323334[[#This Row],[SATIŞ]]-1.5),0)</f>
        <v>0</v>
      </c>
    </row>
    <row r="26" spans="2:8" ht="21" customHeight="1" x14ac:dyDescent="0.3">
      <c r="B26" s="13"/>
      <c r="F26" s="17" t="str">
        <f>IF(Tablo134262728293031323334[[#This Row],[SATIŞ]]=0,"Açık",(E26-D26)*C26-3)</f>
        <v>Açık</v>
      </c>
      <c r="G26" s="15">
        <f>IF(Tablo134262728293031323334[[#This Row],[ALIŞ]]&gt;0,Tablo134262728293031323334[[#This Row],[ADET]]*Tablo134262728293031323334[[#This Row],[ALIŞ]]+1.5,0)</f>
        <v>0</v>
      </c>
      <c r="H26" s="15">
        <f>IF(Tablo134262728293031323334[[#This Row],[SATIŞ]]&gt;0,(Tablo134262728293031323334[[#This Row],[ADET]]*Tablo134262728293031323334[[#This Row],[SATIŞ]]-1.5),0)</f>
        <v>0</v>
      </c>
    </row>
    <row r="27" spans="2:8" ht="21" customHeight="1" x14ac:dyDescent="0.3">
      <c r="B27" s="13"/>
      <c r="F27" s="17" t="str">
        <f>IF(Tablo134262728293031323334[[#This Row],[SATIŞ]]=0,"Açık",(E27-D27)*C27-3)</f>
        <v>Açık</v>
      </c>
      <c r="G27" s="15">
        <f>IF(Tablo134262728293031323334[[#This Row],[ALIŞ]]&gt;0,Tablo134262728293031323334[[#This Row],[ADET]]*Tablo134262728293031323334[[#This Row],[ALIŞ]]+1.5,0)</f>
        <v>0</v>
      </c>
      <c r="H27" s="15">
        <f>IF(Tablo134262728293031323334[[#This Row],[SATIŞ]]&gt;0,(Tablo134262728293031323334[[#This Row],[ADET]]*Tablo134262728293031323334[[#This Row],[SATIŞ]]-1.5),0)</f>
        <v>0</v>
      </c>
    </row>
  </sheetData>
  <conditionalFormatting sqref="B4:E4 B5:F27">
    <cfRule type="expression" dxfId="35" priority="4">
      <formula>$F4&lt;0</formula>
    </cfRule>
    <cfRule type="expression" dxfId="34" priority="5">
      <formula>$F4="Açık"</formula>
    </cfRule>
    <cfRule type="expression" dxfId="33" priority="6">
      <formula>$F4&gt;0</formula>
    </cfRule>
  </conditionalFormatting>
  <conditionalFormatting sqref="F4">
    <cfRule type="expression" dxfId="32" priority="1">
      <formula>$F4&lt;0</formula>
    </cfRule>
    <cfRule type="expression" dxfId="31" priority="2">
      <formula>$F4="Açık"</formula>
    </cfRule>
    <cfRule type="expression" dxfId="30" priority="3">
      <formula>$F4&gt;0</formula>
    </cfRule>
  </conditionalFormatting>
  <hyperlinks>
    <hyperlink ref="B1" location="İcmal!A1" display="ANA SAYFA" xr:uid="{EAA6D71C-7134-4239-8474-9B1522E1140B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ABE6-BDA9-45E3-89E5-7545CACED94F}">
  <dimension ref="B1:R27"/>
  <sheetViews>
    <sheetView workbookViewId="0">
      <selection activeCell="E7" sqref="E7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SUMIF(Tablo1342627282930313536[KAR],"Açık",Tablo1342627282930313536[ADET])</f>
        <v>25</v>
      </c>
      <c r="D1" s="16">
        <f>+İcmal!E35</f>
        <v>35.840000000000003</v>
      </c>
      <c r="E1" s="16">
        <f>C1*D1</f>
        <v>896.00000000000011</v>
      </c>
      <c r="F1" s="16">
        <f>IFERROR(((SUM(Tablo1342627282930313536[ALIŞ TUTAR])-SUM(Tablo1342627282930313536[SATIŞ TUTAR]))/C1),"")</f>
        <v>35.520000000000003</v>
      </c>
      <c r="G1" s="3">
        <f>IF(M3=0,L3,C1*(D1-F1))</f>
        <v>8.0000000000000071</v>
      </c>
      <c r="J1" s="4">
        <v>0.02</v>
      </c>
      <c r="L1" s="5">
        <f>M1*(1-$J$1)</f>
        <v>34.809600000000003</v>
      </c>
      <c r="M1" s="6">
        <f>F1</f>
        <v>35.520000000000003</v>
      </c>
      <c r="N1" s="5">
        <f>M1*(1+$J$1)</f>
        <v>36.230400000000003</v>
      </c>
      <c r="P1" s="5">
        <f>Q1*(1-$J$1)</f>
        <v>35.123200000000004</v>
      </c>
      <c r="Q1" s="6">
        <f>+D1</f>
        <v>35.840000000000003</v>
      </c>
      <c r="R1" s="5">
        <f>Q1*(1+$J$1)</f>
        <v>36.556800000000003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SUM(Tablo1342627282930313536[KAR])</f>
        <v>34.249999999999986</v>
      </c>
      <c r="M3" s="12">
        <f>C1</f>
        <v>25</v>
      </c>
    </row>
    <row r="4" spans="2:18" ht="21" customHeight="1" x14ac:dyDescent="0.3">
      <c r="B4" s="13">
        <v>45328</v>
      </c>
      <c r="C4" s="8">
        <v>25</v>
      </c>
      <c r="D4" s="16">
        <v>37.03</v>
      </c>
      <c r="E4" s="16">
        <v>38.31</v>
      </c>
      <c r="F4" s="17">
        <f>IF(Tablo1342627282930313536[[#This Row],[SATIŞ]]=0,"Açık",(E4-D4)*C4-3)</f>
        <v>29.000000000000028</v>
      </c>
      <c r="G4" s="15">
        <f>IF(Tablo1342627282930313536[[#This Row],[ALIŞ]]&gt;0,Tablo1342627282930313536[[#This Row],[ADET]]*Tablo1342627282930313536[[#This Row],[ALIŞ]]+1.5,0)</f>
        <v>927.25</v>
      </c>
      <c r="H4" s="15">
        <f>IF(Tablo1342627282930313536[[#This Row],[SATIŞ]]&gt;0,(Tablo1342627282930313536[[#This Row],[ADET]]*Tablo1342627282930313536[[#This Row],[SATIŞ]]-1.5),0)</f>
        <v>956.25</v>
      </c>
      <c r="L4" s="5"/>
      <c r="M4" s="5"/>
      <c r="N4" s="5"/>
    </row>
    <row r="5" spans="2:18" ht="21" customHeight="1" x14ac:dyDescent="0.3">
      <c r="B5" s="13">
        <v>45329</v>
      </c>
      <c r="C5" s="8">
        <v>25</v>
      </c>
      <c r="D5" s="16">
        <v>36.83</v>
      </c>
      <c r="F5" s="17" t="str">
        <f>IF(Tablo1342627282930313536[[#This Row],[SATIŞ]]=0,"Açık",(E5-D5)*C5-3)</f>
        <v>Açık</v>
      </c>
      <c r="G5" s="15">
        <f>IF(Tablo1342627282930313536[[#This Row],[ALIŞ]]&gt;0,Tablo1342627282930313536[[#This Row],[ADET]]*Tablo1342627282930313536[[#This Row],[ALIŞ]]+1.5,0)</f>
        <v>922.25</v>
      </c>
      <c r="H5" s="15">
        <f>IF(Tablo1342627282930313536[[#This Row],[SATIŞ]]&gt;0,(Tablo1342627282930313536[[#This Row],[ADET]]*Tablo1342627282930313536[[#This Row],[SATIŞ]]-1.5),0)</f>
        <v>0</v>
      </c>
    </row>
    <row r="6" spans="2:18" ht="21" customHeight="1" x14ac:dyDescent="0.3">
      <c r="B6" s="13">
        <v>45356</v>
      </c>
      <c r="C6" s="8">
        <v>25</v>
      </c>
      <c r="D6" s="16">
        <v>36.200000000000003</v>
      </c>
      <c r="E6" s="16">
        <v>36.53</v>
      </c>
      <c r="F6" s="17">
        <f>IF(Tablo1342627282930313536[[#This Row],[SATIŞ]]=0,"Açık",(E6-D6)*C6-3)</f>
        <v>5.2499999999999574</v>
      </c>
      <c r="G6" s="15">
        <f>IF(Tablo1342627282930313536[[#This Row],[ALIŞ]]&gt;0,Tablo1342627282930313536[[#This Row],[ADET]]*Tablo1342627282930313536[[#This Row],[ALIŞ]]+1.5,0)</f>
        <v>906.50000000000011</v>
      </c>
      <c r="H6" s="15">
        <f>IF(Tablo1342627282930313536[[#This Row],[SATIŞ]]&gt;0,(Tablo1342627282930313536[[#This Row],[ADET]]*Tablo1342627282930313536[[#This Row],[SATIŞ]]-1.5),0)</f>
        <v>911.75</v>
      </c>
    </row>
    <row r="7" spans="2:18" ht="21" customHeight="1" x14ac:dyDescent="0.3">
      <c r="B7" s="13"/>
      <c r="F7" s="17" t="str">
        <f>IF(Tablo1342627282930313536[[#This Row],[SATIŞ]]=0,"Açık",(E7-D7)*C7-3)</f>
        <v>Açık</v>
      </c>
      <c r="G7" s="15">
        <f>IF(Tablo1342627282930313536[[#This Row],[ALIŞ]]&gt;0,Tablo1342627282930313536[[#This Row],[ADET]]*Tablo1342627282930313536[[#This Row],[ALIŞ]]+1.5,0)</f>
        <v>0</v>
      </c>
      <c r="H7" s="15">
        <f>IF(Tablo1342627282930313536[[#This Row],[SATIŞ]]&gt;0,(Tablo1342627282930313536[[#This Row],[ADET]]*Tablo1342627282930313536[[#This Row],[SATIŞ]]-1.5),0)</f>
        <v>0</v>
      </c>
    </row>
    <row r="8" spans="2:18" ht="21" customHeight="1" x14ac:dyDescent="0.3">
      <c r="B8" s="13"/>
      <c r="F8" s="17" t="str">
        <f>IF(Tablo1342627282930313536[[#This Row],[SATIŞ]]=0,"Açık",(E8-D8)*C8-3)</f>
        <v>Açık</v>
      </c>
      <c r="G8" s="15">
        <f>IF(Tablo1342627282930313536[[#This Row],[ALIŞ]]&gt;0,Tablo1342627282930313536[[#This Row],[ADET]]*Tablo1342627282930313536[[#This Row],[ALIŞ]]+1.5,0)</f>
        <v>0</v>
      </c>
      <c r="H8" s="15">
        <f>IF(Tablo1342627282930313536[[#This Row],[SATIŞ]]&gt;0,(Tablo1342627282930313536[[#This Row],[ADET]]*Tablo1342627282930313536[[#This Row],[SATIŞ]]-1.5),0)</f>
        <v>0</v>
      </c>
    </row>
    <row r="9" spans="2:18" ht="21" customHeight="1" x14ac:dyDescent="0.3">
      <c r="B9" s="13"/>
      <c r="F9" s="17" t="str">
        <f>IF(Tablo1342627282930313536[[#This Row],[SATIŞ]]=0,"Açık",(E9-D9)*C9-3)</f>
        <v>Açık</v>
      </c>
      <c r="G9" s="15">
        <f>IF(Tablo1342627282930313536[[#This Row],[ALIŞ]]&gt;0,Tablo1342627282930313536[[#This Row],[ADET]]*Tablo1342627282930313536[[#This Row],[ALIŞ]]+1.5,0)</f>
        <v>0</v>
      </c>
      <c r="H9" s="15">
        <f>IF(Tablo1342627282930313536[[#This Row],[SATIŞ]]&gt;0,(Tablo1342627282930313536[[#This Row],[ADET]]*Tablo1342627282930313536[[#This Row],[SATIŞ]]-1.5),0)</f>
        <v>0</v>
      </c>
    </row>
    <row r="10" spans="2:18" ht="21" customHeight="1" x14ac:dyDescent="0.3">
      <c r="B10" s="13"/>
      <c r="F10" s="17" t="str">
        <f>IF(Tablo1342627282930313536[[#This Row],[SATIŞ]]=0,"Açık",(E10-D10)*C10-3)</f>
        <v>Açık</v>
      </c>
      <c r="G10" s="15">
        <f>IF(Tablo1342627282930313536[[#This Row],[ALIŞ]]&gt;0,Tablo1342627282930313536[[#This Row],[ADET]]*Tablo1342627282930313536[[#This Row],[ALIŞ]]+1.5,0)</f>
        <v>0</v>
      </c>
      <c r="H10" s="15">
        <f>IF(Tablo1342627282930313536[[#This Row],[SATIŞ]]&gt;0,(Tablo1342627282930313536[[#This Row],[ADET]]*Tablo1342627282930313536[[#This Row],[SATIŞ]]-1.5),0)</f>
        <v>0</v>
      </c>
    </row>
    <row r="11" spans="2:18" ht="21" customHeight="1" x14ac:dyDescent="0.3">
      <c r="B11" s="13"/>
      <c r="F11" s="17" t="str">
        <f>IF(Tablo1342627282930313536[[#This Row],[SATIŞ]]=0,"Açık",(E11-D11)*C11-3)</f>
        <v>Açık</v>
      </c>
      <c r="G11" s="15">
        <f>IF(Tablo1342627282930313536[[#This Row],[ALIŞ]]&gt;0,Tablo1342627282930313536[[#This Row],[ADET]]*Tablo1342627282930313536[[#This Row],[ALIŞ]]+1.5,0)</f>
        <v>0</v>
      </c>
      <c r="H11" s="15">
        <f>IF(Tablo1342627282930313536[[#This Row],[SATIŞ]]&gt;0,(Tablo1342627282930313536[[#This Row],[ADET]]*Tablo1342627282930313536[[#This Row],[SATIŞ]]-1.5),0)</f>
        <v>0</v>
      </c>
      <c r="J11">
        <f>+Tablo1342627282930313536[[#This Row],[ALIŞ]]*1.02</f>
        <v>0</v>
      </c>
    </row>
    <row r="12" spans="2:18" ht="21" customHeight="1" x14ac:dyDescent="0.3">
      <c r="B12" s="13"/>
      <c r="F12" s="17" t="str">
        <f>IF(Tablo1342627282930313536[[#This Row],[SATIŞ]]=0,"Açık",(E12-D12)*C12-3)</f>
        <v>Açık</v>
      </c>
      <c r="G12" s="15">
        <f>IF(Tablo1342627282930313536[[#This Row],[ALIŞ]]&gt;0,Tablo1342627282930313536[[#This Row],[ADET]]*Tablo1342627282930313536[[#This Row],[ALIŞ]]+1.5,0)</f>
        <v>0</v>
      </c>
      <c r="H12" s="15">
        <f>IF(Tablo1342627282930313536[[#This Row],[SATIŞ]]&gt;0,(Tablo1342627282930313536[[#This Row],[ADET]]*Tablo1342627282930313536[[#This Row],[SATIŞ]]-1.5),0)</f>
        <v>0</v>
      </c>
    </row>
    <row r="13" spans="2:18" ht="21" customHeight="1" x14ac:dyDescent="0.3">
      <c r="B13" s="13"/>
      <c r="F13" s="17" t="str">
        <f>IF(Tablo1342627282930313536[[#This Row],[SATIŞ]]=0,"Açık",(E13-D13)*C13-3)</f>
        <v>Açık</v>
      </c>
      <c r="G13" s="15">
        <f>IF(Tablo1342627282930313536[[#This Row],[ALIŞ]]&gt;0,Tablo1342627282930313536[[#This Row],[ADET]]*Tablo1342627282930313536[[#This Row],[ALIŞ]]+1.5,0)</f>
        <v>0</v>
      </c>
      <c r="H13" s="15">
        <f>IF(Tablo1342627282930313536[[#This Row],[SATIŞ]]&gt;0,(Tablo1342627282930313536[[#This Row],[ADET]]*Tablo1342627282930313536[[#This Row],[SATIŞ]]-1.5),0)</f>
        <v>0</v>
      </c>
    </row>
    <row r="14" spans="2:18" ht="21" customHeight="1" x14ac:dyDescent="0.3">
      <c r="B14" s="13"/>
      <c r="F14" s="17" t="str">
        <f>IF(Tablo1342627282930313536[[#This Row],[SATIŞ]]=0,"Açık",(E14-D14)*C14-3)</f>
        <v>Açık</v>
      </c>
      <c r="G14" s="15">
        <f>IF(Tablo1342627282930313536[[#This Row],[ALIŞ]]&gt;0,Tablo1342627282930313536[[#This Row],[ADET]]*Tablo1342627282930313536[[#This Row],[ALIŞ]]+1.5,0)</f>
        <v>0</v>
      </c>
      <c r="H14" s="15">
        <f>IF(Tablo1342627282930313536[[#This Row],[SATIŞ]]&gt;0,(Tablo1342627282930313536[[#This Row],[ADET]]*Tablo1342627282930313536[[#This Row],[SATIŞ]]-1.5),0)</f>
        <v>0</v>
      </c>
    </row>
    <row r="15" spans="2:18" ht="21" customHeight="1" x14ac:dyDescent="0.3">
      <c r="B15" s="13"/>
      <c r="F15" s="17" t="str">
        <f>IF(Tablo1342627282930313536[[#This Row],[SATIŞ]]=0,"Açık",(E15-D15)*C15-3)</f>
        <v>Açık</v>
      </c>
      <c r="G15" s="15">
        <f>IF(Tablo1342627282930313536[[#This Row],[ALIŞ]]&gt;0,Tablo1342627282930313536[[#This Row],[ADET]]*Tablo1342627282930313536[[#This Row],[ALIŞ]]+1.5,0)</f>
        <v>0</v>
      </c>
      <c r="H15" s="15">
        <f>IF(Tablo1342627282930313536[[#This Row],[SATIŞ]]&gt;0,(Tablo1342627282930313536[[#This Row],[ADET]]*Tablo1342627282930313536[[#This Row],[SATIŞ]]-1.5),0)</f>
        <v>0</v>
      </c>
    </row>
    <row r="16" spans="2:18" ht="21" customHeight="1" x14ac:dyDescent="0.3">
      <c r="B16" s="13"/>
      <c r="F16" s="17" t="str">
        <f>IF(Tablo1342627282930313536[[#This Row],[SATIŞ]]=0,"Açık",(E16-D16)*C16-3)</f>
        <v>Açık</v>
      </c>
      <c r="G16" s="15">
        <f>IF(Tablo1342627282930313536[[#This Row],[ALIŞ]]&gt;0,Tablo1342627282930313536[[#This Row],[ADET]]*Tablo1342627282930313536[[#This Row],[ALIŞ]]+1.5,0)</f>
        <v>0</v>
      </c>
      <c r="H16" s="15">
        <f>IF(Tablo1342627282930313536[[#This Row],[SATIŞ]]&gt;0,(Tablo1342627282930313536[[#This Row],[ADET]]*Tablo1342627282930313536[[#This Row],[SATIŞ]]-1.5),0)</f>
        <v>0</v>
      </c>
    </row>
    <row r="17" spans="2:8" ht="21" customHeight="1" x14ac:dyDescent="0.3">
      <c r="B17" s="13"/>
      <c r="F17" s="17" t="str">
        <f>IF(Tablo1342627282930313536[[#This Row],[SATIŞ]]=0,"Açık",(E17-D17)*C17-3)</f>
        <v>Açık</v>
      </c>
      <c r="G17" s="15">
        <f>IF(Tablo1342627282930313536[[#This Row],[ALIŞ]]&gt;0,Tablo1342627282930313536[[#This Row],[ADET]]*Tablo1342627282930313536[[#This Row],[ALIŞ]]+1.5,0)</f>
        <v>0</v>
      </c>
      <c r="H17" s="15">
        <f>IF(Tablo1342627282930313536[[#This Row],[SATIŞ]]&gt;0,(Tablo1342627282930313536[[#This Row],[ADET]]*Tablo1342627282930313536[[#This Row],[SATIŞ]]-1.5),0)</f>
        <v>0</v>
      </c>
    </row>
    <row r="18" spans="2:8" ht="21" customHeight="1" x14ac:dyDescent="0.3">
      <c r="B18" s="13"/>
      <c r="F18" s="17" t="str">
        <f>IF(Tablo1342627282930313536[[#This Row],[SATIŞ]]=0,"Açık",(E18-D18)*C18-3)</f>
        <v>Açık</v>
      </c>
      <c r="G18" s="15">
        <f>IF(Tablo1342627282930313536[[#This Row],[ALIŞ]]&gt;0,Tablo1342627282930313536[[#This Row],[ADET]]*Tablo1342627282930313536[[#This Row],[ALIŞ]]+1.5,0)</f>
        <v>0</v>
      </c>
      <c r="H18" s="15">
        <f>IF(Tablo1342627282930313536[[#This Row],[SATIŞ]]&gt;0,(Tablo1342627282930313536[[#This Row],[ADET]]*Tablo1342627282930313536[[#This Row],[SATIŞ]]-1.5),0)</f>
        <v>0</v>
      </c>
    </row>
    <row r="19" spans="2:8" ht="21" customHeight="1" x14ac:dyDescent="0.3">
      <c r="B19" s="13"/>
      <c r="F19" s="17" t="str">
        <f>IF(Tablo1342627282930313536[[#This Row],[SATIŞ]]=0,"Açık",(E19-D19)*C19-3)</f>
        <v>Açık</v>
      </c>
      <c r="G19" s="15">
        <f>IF(Tablo1342627282930313536[[#This Row],[ALIŞ]]&gt;0,Tablo1342627282930313536[[#This Row],[ADET]]*Tablo1342627282930313536[[#This Row],[ALIŞ]]+1.5,0)</f>
        <v>0</v>
      </c>
      <c r="H19" s="15">
        <f>IF(Tablo1342627282930313536[[#This Row],[SATIŞ]]&gt;0,(Tablo1342627282930313536[[#This Row],[ADET]]*Tablo1342627282930313536[[#This Row],[SATIŞ]]-1.5),0)</f>
        <v>0</v>
      </c>
    </row>
    <row r="20" spans="2:8" ht="21" customHeight="1" x14ac:dyDescent="0.3">
      <c r="B20" s="13"/>
      <c r="F20" s="17" t="str">
        <f>IF(Tablo1342627282930313536[[#This Row],[SATIŞ]]=0,"Açık",(E20-D20)*C20-3)</f>
        <v>Açık</v>
      </c>
      <c r="G20" s="15">
        <f>IF(Tablo1342627282930313536[[#This Row],[ALIŞ]]&gt;0,Tablo1342627282930313536[[#This Row],[ADET]]*Tablo1342627282930313536[[#This Row],[ALIŞ]]+1.5,0)</f>
        <v>0</v>
      </c>
      <c r="H20" s="15">
        <f>IF(Tablo1342627282930313536[[#This Row],[SATIŞ]]&gt;0,(Tablo1342627282930313536[[#This Row],[ADET]]*Tablo1342627282930313536[[#This Row],[SATIŞ]]-1.5),0)</f>
        <v>0</v>
      </c>
    </row>
    <row r="21" spans="2:8" ht="21" customHeight="1" x14ac:dyDescent="0.3">
      <c r="B21" s="13"/>
      <c r="F21" s="17" t="str">
        <f>IF(Tablo1342627282930313536[[#This Row],[SATIŞ]]=0,"Açık",(E21-D21)*C21-3)</f>
        <v>Açık</v>
      </c>
      <c r="G21" s="15">
        <f>IF(Tablo1342627282930313536[[#This Row],[ALIŞ]]&gt;0,Tablo1342627282930313536[[#This Row],[ADET]]*Tablo1342627282930313536[[#This Row],[ALIŞ]]+1.5,0)</f>
        <v>0</v>
      </c>
      <c r="H21" s="15">
        <f>IF(Tablo1342627282930313536[[#This Row],[SATIŞ]]&gt;0,(Tablo1342627282930313536[[#This Row],[ADET]]*Tablo1342627282930313536[[#This Row],[SATIŞ]]-1.5),0)</f>
        <v>0</v>
      </c>
    </row>
    <row r="22" spans="2:8" ht="21" customHeight="1" x14ac:dyDescent="0.3">
      <c r="B22" s="13"/>
      <c r="F22" s="17" t="str">
        <f>IF(Tablo1342627282930313536[[#This Row],[SATIŞ]]=0,"Açık",(E22-D22)*C22-3)</f>
        <v>Açık</v>
      </c>
      <c r="G22" s="15">
        <f>IF(Tablo1342627282930313536[[#This Row],[ALIŞ]]&gt;0,Tablo1342627282930313536[[#This Row],[ADET]]*Tablo1342627282930313536[[#This Row],[ALIŞ]]+1.5,0)</f>
        <v>0</v>
      </c>
      <c r="H22" s="15">
        <f>IF(Tablo1342627282930313536[[#This Row],[SATIŞ]]&gt;0,(Tablo1342627282930313536[[#This Row],[ADET]]*Tablo1342627282930313536[[#This Row],[SATIŞ]]-1.5),0)</f>
        <v>0</v>
      </c>
    </row>
    <row r="23" spans="2:8" ht="21" customHeight="1" x14ac:dyDescent="0.3">
      <c r="B23" s="13"/>
      <c r="F23" s="17" t="str">
        <f>IF(Tablo1342627282930313536[[#This Row],[SATIŞ]]=0,"Açık",(E23-D23)*C23-3)</f>
        <v>Açık</v>
      </c>
      <c r="G23" s="15">
        <f>IF(Tablo1342627282930313536[[#This Row],[ALIŞ]]&gt;0,Tablo1342627282930313536[[#This Row],[ADET]]*Tablo1342627282930313536[[#This Row],[ALIŞ]]+1.5,0)</f>
        <v>0</v>
      </c>
      <c r="H23" s="15">
        <f>IF(Tablo1342627282930313536[[#This Row],[SATIŞ]]&gt;0,(Tablo1342627282930313536[[#This Row],[ADET]]*Tablo1342627282930313536[[#This Row],[SATIŞ]]-1.5),0)</f>
        <v>0</v>
      </c>
    </row>
    <row r="24" spans="2:8" ht="21" customHeight="1" x14ac:dyDescent="0.3">
      <c r="B24" s="13"/>
      <c r="F24" s="17" t="str">
        <f>IF(Tablo1342627282930313536[[#This Row],[SATIŞ]]=0,"Açık",(E24-D24)*C24-3)</f>
        <v>Açık</v>
      </c>
      <c r="G24" s="15">
        <f>IF(Tablo1342627282930313536[[#This Row],[ALIŞ]]&gt;0,Tablo1342627282930313536[[#This Row],[ADET]]*Tablo1342627282930313536[[#This Row],[ALIŞ]]+1.5,0)</f>
        <v>0</v>
      </c>
      <c r="H24" s="15">
        <f>IF(Tablo1342627282930313536[[#This Row],[SATIŞ]]&gt;0,(Tablo1342627282930313536[[#This Row],[ADET]]*Tablo1342627282930313536[[#This Row],[SATIŞ]]-1.5),0)</f>
        <v>0</v>
      </c>
    </row>
    <row r="25" spans="2:8" ht="21" customHeight="1" x14ac:dyDescent="0.3">
      <c r="B25" s="13"/>
      <c r="F25" s="17" t="str">
        <f>IF(Tablo1342627282930313536[[#This Row],[SATIŞ]]=0,"Açık",(E25-D25)*C25-3)</f>
        <v>Açık</v>
      </c>
      <c r="G25" s="15">
        <f>IF(Tablo1342627282930313536[[#This Row],[ALIŞ]]&gt;0,Tablo1342627282930313536[[#This Row],[ADET]]*Tablo1342627282930313536[[#This Row],[ALIŞ]]+1.5,0)</f>
        <v>0</v>
      </c>
      <c r="H25" s="15">
        <f>IF(Tablo1342627282930313536[[#This Row],[SATIŞ]]&gt;0,(Tablo1342627282930313536[[#This Row],[ADET]]*Tablo1342627282930313536[[#This Row],[SATIŞ]]-1.5),0)</f>
        <v>0</v>
      </c>
    </row>
    <row r="26" spans="2:8" ht="21" customHeight="1" x14ac:dyDescent="0.3">
      <c r="B26" s="13"/>
      <c r="F26" s="17" t="str">
        <f>IF(Tablo1342627282930313536[[#This Row],[SATIŞ]]=0,"Açık",(E26-D26)*C26-3)</f>
        <v>Açık</v>
      </c>
      <c r="G26" s="15">
        <f>IF(Tablo1342627282930313536[[#This Row],[ALIŞ]]&gt;0,Tablo1342627282930313536[[#This Row],[ADET]]*Tablo1342627282930313536[[#This Row],[ALIŞ]]+1.5,0)</f>
        <v>0</v>
      </c>
      <c r="H26" s="15">
        <f>IF(Tablo1342627282930313536[[#This Row],[SATIŞ]]&gt;0,(Tablo1342627282930313536[[#This Row],[ADET]]*Tablo1342627282930313536[[#This Row],[SATIŞ]]-1.5),0)</f>
        <v>0</v>
      </c>
    </row>
    <row r="27" spans="2:8" ht="21" customHeight="1" x14ac:dyDescent="0.3">
      <c r="B27" s="13"/>
      <c r="F27" s="17" t="str">
        <f>IF(Tablo1342627282930313536[[#This Row],[SATIŞ]]=0,"Açık",(E27-D27)*C27-3)</f>
        <v>Açık</v>
      </c>
      <c r="G27" s="15">
        <f>IF(Tablo1342627282930313536[[#This Row],[ALIŞ]]&gt;0,Tablo1342627282930313536[[#This Row],[ADET]]*Tablo1342627282930313536[[#This Row],[ALIŞ]]+1.5,0)</f>
        <v>0</v>
      </c>
      <c r="H27" s="15">
        <f>IF(Tablo1342627282930313536[[#This Row],[SATIŞ]]&gt;0,(Tablo1342627282930313536[[#This Row],[ADET]]*Tablo1342627282930313536[[#This Row],[SATIŞ]]-1.5),0)</f>
        <v>0</v>
      </c>
    </row>
  </sheetData>
  <conditionalFormatting sqref="B4:E4 B5:F27">
    <cfRule type="expression" dxfId="29" priority="4">
      <formula>$F4&lt;0</formula>
    </cfRule>
    <cfRule type="expression" dxfId="28" priority="5">
      <formula>$F4="Açık"</formula>
    </cfRule>
    <cfRule type="expression" dxfId="27" priority="6">
      <formula>$F4&gt;0</formula>
    </cfRule>
  </conditionalFormatting>
  <conditionalFormatting sqref="F4">
    <cfRule type="expression" dxfId="26" priority="1">
      <formula>$F4&lt;0</formula>
    </cfRule>
    <cfRule type="expression" dxfId="25" priority="2">
      <formula>$F4="Açık"</formula>
    </cfRule>
    <cfRule type="expression" dxfId="24" priority="3">
      <formula>$F4&gt;0</formula>
    </cfRule>
  </conditionalFormatting>
  <hyperlinks>
    <hyperlink ref="B1" location="İcmal!A1" display="ANA SAYFA" xr:uid="{F2C3C401-E2D0-4F19-8770-77CBB6294F7B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0A01-1948-4AF6-917F-A9633A9E28EA}">
  <dimension ref="B1:R27"/>
  <sheetViews>
    <sheetView workbookViewId="0">
      <selection activeCell="D1" sqref="D1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SUMIF(Tablo13489131415161718[KAR],"Açık",Tablo13489131415161718[ADET])</f>
        <v>0</v>
      </c>
      <c r="D1" s="3"/>
      <c r="E1" s="3">
        <f>C1*D1</f>
        <v>0</v>
      </c>
      <c r="F1" s="3" t="str">
        <f>IFERROR(((SUM(Tablo13489131415161718[ALIŞ TUTAR])-SUM(Tablo13489131415161718[SATIŞ TUTAR]))/C1),"")</f>
        <v/>
      </c>
      <c r="G1" s="3">
        <f>IF(M3=0,L3,C1*(D1-F1))</f>
        <v>4.7399999999999949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0</v>
      </c>
      <c r="Q1" s="6">
        <f>+D1</f>
        <v>0</v>
      </c>
      <c r="R1" s="5">
        <f>Q1*(1+$J$1)</f>
        <v>0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SUM(Tablo13489131415161718[KAR])</f>
        <v>4.7399999999999949</v>
      </c>
      <c r="M3" s="12">
        <f>C1</f>
        <v>0</v>
      </c>
    </row>
    <row r="4" spans="2:18" ht="21" customHeight="1" x14ac:dyDescent="0.3">
      <c r="B4" s="13">
        <v>44897</v>
      </c>
      <c r="C4" s="8">
        <v>3</v>
      </c>
      <c r="D4" s="16">
        <v>43.42</v>
      </c>
      <c r="E4" s="3">
        <v>46</v>
      </c>
      <c r="F4" s="14">
        <f>IF(Tablo13489131415161718[[#This Row],[SATIŞ]]=0,"Açık",(E4-D4)*C4-3)</f>
        <v>4.7399999999999949</v>
      </c>
      <c r="G4" s="15">
        <f>IF(Tablo13489131415161718[[#This Row],[ALIŞ]]&gt;0,Tablo13489131415161718[[#This Row],[ADET]]*Tablo13489131415161718[[#This Row],[ALIŞ]]+1.5,0)</f>
        <v>131.76</v>
      </c>
      <c r="H4" s="15">
        <f>IF(Tablo13489131415161718[[#This Row],[SATIŞ]]&gt;0,(Tablo13489131415161718[[#This Row],[ADET]]*Tablo13489131415161718[[#This Row],[SATIŞ]]-1.5),0)</f>
        <v>136.5</v>
      </c>
      <c r="L4" s="5"/>
      <c r="M4" s="5"/>
      <c r="N4" s="5"/>
    </row>
    <row r="5" spans="2:18" ht="21" customHeight="1" x14ac:dyDescent="0.3">
      <c r="B5" s="13"/>
      <c r="D5" s="16"/>
      <c r="E5" s="3"/>
      <c r="F5" s="14" t="str">
        <f>IF(Tablo13489131415161718[[#This Row],[SATIŞ]]=0,"Açık",(E5-D5)*C5-3)</f>
        <v>Açık</v>
      </c>
      <c r="G5" s="15">
        <f>IF(Tablo13489131415161718[[#This Row],[ALIŞ]]&gt;0,Tablo13489131415161718[[#This Row],[ADET]]*Tablo13489131415161718[[#This Row],[ALIŞ]]+1.5,0)</f>
        <v>0</v>
      </c>
      <c r="H5" s="15">
        <f>IF(Tablo13489131415161718[[#This Row],[SATIŞ]]&gt;0,(Tablo13489131415161718[[#This Row],[ADET]]*Tablo13489131415161718[[#This Row],[SATIŞ]]-1.5),0)</f>
        <v>0</v>
      </c>
    </row>
    <row r="6" spans="2:18" ht="21" customHeight="1" x14ac:dyDescent="0.3">
      <c r="B6" s="13"/>
      <c r="D6" s="16"/>
      <c r="E6" s="3"/>
      <c r="F6" s="14" t="str">
        <f>IF(Tablo13489131415161718[[#This Row],[SATIŞ]]=0,"Açık",(E6-D6)*C6-3)</f>
        <v>Açık</v>
      </c>
      <c r="G6" s="15">
        <f>IF(Tablo13489131415161718[[#This Row],[ALIŞ]]&gt;0,Tablo13489131415161718[[#This Row],[ADET]]*Tablo13489131415161718[[#This Row],[ALIŞ]]+1.5,0)</f>
        <v>0</v>
      </c>
      <c r="H6" s="15">
        <f>IF(Tablo13489131415161718[[#This Row],[SATIŞ]]&gt;0,(Tablo13489131415161718[[#This Row],[ADET]]*Tablo13489131415161718[[#This Row],[SATIŞ]]-1.5),0)</f>
        <v>0</v>
      </c>
    </row>
    <row r="7" spans="2:18" ht="21" customHeight="1" x14ac:dyDescent="0.3">
      <c r="B7" s="13"/>
      <c r="D7" s="16"/>
      <c r="E7" s="3"/>
      <c r="F7" s="14" t="str">
        <f>IF(Tablo13489131415161718[[#This Row],[SATIŞ]]=0,"Açık",(E7-D7)*C7-3)</f>
        <v>Açık</v>
      </c>
      <c r="G7" s="15">
        <f>IF(Tablo13489131415161718[[#This Row],[ALIŞ]]&gt;0,Tablo13489131415161718[[#This Row],[ADET]]*Tablo13489131415161718[[#This Row],[ALIŞ]]+1.5,0)</f>
        <v>0</v>
      </c>
      <c r="H7" s="15">
        <f>IF(Tablo13489131415161718[[#This Row],[SATIŞ]]&gt;0,(Tablo13489131415161718[[#This Row],[ADET]]*Tablo13489131415161718[[#This Row],[SATIŞ]]-1.5),0)</f>
        <v>0</v>
      </c>
    </row>
    <row r="8" spans="2:18" ht="21" customHeight="1" x14ac:dyDescent="0.3">
      <c r="B8" s="13"/>
      <c r="D8" s="16"/>
      <c r="E8" s="3"/>
      <c r="F8" s="14" t="str">
        <f>IF(Tablo13489131415161718[[#This Row],[SATIŞ]]=0,"Açık",(E8-D8)*C8-3)</f>
        <v>Açık</v>
      </c>
      <c r="G8" s="15">
        <f>IF(Tablo13489131415161718[[#This Row],[ALIŞ]]&gt;0,Tablo13489131415161718[[#This Row],[ADET]]*Tablo13489131415161718[[#This Row],[ALIŞ]]+1.5,0)</f>
        <v>0</v>
      </c>
      <c r="H8" s="15">
        <f>IF(Tablo13489131415161718[[#This Row],[SATIŞ]]&gt;0,(Tablo13489131415161718[[#This Row],[ADET]]*Tablo13489131415161718[[#This Row],[SATIŞ]]-1.5),0)</f>
        <v>0</v>
      </c>
    </row>
    <row r="9" spans="2:18" ht="21" customHeight="1" x14ac:dyDescent="0.3">
      <c r="B9" s="13"/>
      <c r="D9" s="16"/>
      <c r="E9" s="3"/>
      <c r="F9" s="14" t="str">
        <f>IF(Tablo13489131415161718[[#This Row],[SATIŞ]]=0,"Açık",(E9-D9)*C9-3)</f>
        <v>Açık</v>
      </c>
      <c r="G9" s="15">
        <f>IF(Tablo13489131415161718[[#This Row],[ALIŞ]]&gt;0,Tablo13489131415161718[[#This Row],[ADET]]*Tablo13489131415161718[[#This Row],[ALIŞ]]+1.5,0)</f>
        <v>0</v>
      </c>
      <c r="H9" s="15">
        <f>IF(Tablo13489131415161718[[#This Row],[SATIŞ]]&gt;0,(Tablo13489131415161718[[#This Row],[ADET]]*Tablo13489131415161718[[#This Row],[SATIŞ]]-1.5),0)</f>
        <v>0</v>
      </c>
    </row>
    <row r="10" spans="2:18" ht="21" customHeight="1" x14ac:dyDescent="0.3">
      <c r="B10" s="13"/>
      <c r="D10" s="16"/>
      <c r="E10" s="3"/>
      <c r="F10" s="14" t="str">
        <f>IF(Tablo13489131415161718[[#This Row],[SATIŞ]]=0,"Açık",(E10-D10)*C10-3)</f>
        <v>Açık</v>
      </c>
      <c r="G10" s="15">
        <f>IF(Tablo13489131415161718[[#This Row],[ALIŞ]]&gt;0,Tablo13489131415161718[[#This Row],[ADET]]*Tablo13489131415161718[[#This Row],[ALIŞ]]+1.5,0)</f>
        <v>0</v>
      </c>
      <c r="H10" s="15">
        <f>IF(Tablo13489131415161718[[#This Row],[SATIŞ]]&gt;0,(Tablo13489131415161718[[#This Row],[ADET]]*Tablo13489131415161718[[#This Row],[SATIŞ]]-1.5),0)</f>
        <v>0</v>
      </c>
    </row>
    <row r="11" spans="2:18" ht="21" customHeight="1" x14ac:dyDescent="0.3">
      <c r="B11" s="13"/>
      <c r="D11" s="16"/>
      <c r="E11" s="3"/>
      <c r="F11" s="14" t="str">
        <f>IF(Tablo13489131415161718[[#This Row],[SATIŞ]]=0,"Açık",(E11-D11)*C11-3)</f>
        <v>Açık</v>
      </c>
      <c r="G11" s="15">
        <f>IF(Tablo13489131415161718[[#This Row],[ALIŞ]]&gt;0,Tablo13489131415161718[[#This Row],[ADET]]*Tablo13489131415161718[[#This Row],[ALIŞ]]+1.5,0)</f>
        <v>0</v>
      </c>
      <c r="H11" s="15">
        <f>IF(Tablo13489131415161718[[#This Row],[SATIŞ]]&gt;0,(Tablo13489131415161718[[#This Row],[ADET]]*Tablo13489131415161718[[#This Row],[SATIŞ]]-1.5),0)</f>
        <v>0</v>
      </c>
      <c r="J11">
        <f>+Tablo13489131415161718[[#This Row],[ALIŞ]]*1.02</f>
        <v>0</v>
      </c>
    </row>
    <row r="12" spans="2:18" ht="21" customHeight="1" x14ac:dyDescent="0.3">
      <c r="B12" s="13"/>
      <c r="D12" s="16"/>
      <c r="E12" s="3"/>
      <c r="F12" s="14" t="str">
        <f>IF(Tablo13489131415161718[[#This Row],[SATIŞ]]=0,"Açık",(E12-D12)*C12-3)</f>
        <v>Açık</v>
      </c>
      <c r="G12" s="15">
        <f>IF(Tablo13489131415161718[[#This Row],[ALIŞ]]&gt;0,Tablo13489131415161718[[#This Row],[ADET]]*Tablo13489131415161718[[#This Row],[ALIŞ]]+1.5,0)</f>
        <v>0</v>
      </c>
      <c r="H12" s="15">
        <f>IF(Tablo13489131415161718[[#This Row],[SATIŞ]]&gt;0,(Tablo13489131415161718[[#This Row],[ADET]]*Tablo13489131415161718[[#This Row],[SATIŞ]]-1.5),0)</f>
        <v>0</v>
      </c>
    </row>
    <row r="13" spans="2:18" ht="21" customHeight="1" x14ac:dyDescent="0.3">
      <c r="B13" s="13"/>
      <c r="D13" s="16"/>
      <c r="E13" s="3"/>
      <c r="F13" s="14" t="str">
        <f>IF(Tablo13489131415161718[[#This Row],[SATIŞ]]=0,"Açık",(E13-D13)*C13-3)</f>
        <v>Açık</v>
      </c>
      <c r="G13" s="15">
        <f>IF(Tablo13489131415161718[[#This Row],[ALIŞ]]&gt;0,Tablo13489131415161718[[#This Row],[ADET]]*Tablo13489131415161718[[#This Row],[ALIŞ]]+1.5,0)</f>
        <v>0</v>
      </c>
      <c r="H13" s="15">
        <f>IF(Tablo13489131415161718[[#This Row],[SATIŞ]]&gt;0,(Tablo13489131415161718[[#This Row],[ADET]]*Tablo13489131415161718[[#This Row],[SATIŞ]]-1.5),0)</f>
        <v>0</v>
      </c>
    </row>
    <row r="14" spans="2:18" ht="21" customHeight="1" x14ac:dyDescent="0.3">
      <c r="B14" s="13"/>
      <c r="D14" s="16"/>
      <c r="E14" s="3"/>
      <c r="F14" s="14" t="str">
        <f>IF(Tablo13489131415161718[[#This Row],[SATIŞ]]=0,"Açık",(E14-D14)*C14-3)</f>
        <v>Açık</v>
      </c>
      <c r="G14" s="15">
        <f>IF(Tablo13489131415161718[[#This Row],[ALIŞ]]&gt;0,Tablo13489131415161718[[#This Row],[ADET]]*Tablo13489131415161718[[#This Row],[ALIŞ]]+1.5,0)</f>
        <v>0</v>
      </c>
      <c r="H14" s="15">
        <f>IF(Tablo13489131415161718[[#This Row],[SATIŞ]]&gt;0,(Tablo13489131415161718[[#This Row],[ADET]]*Tablo13489131415161718[[#This Row],[SATIŞ]]-1.5),0)</f>
        <v>0</v>
      </c>
    </row>
    <row r="15" spans="2:18" ht="21" customHeight="1" x14ac:dyDescent="0.3">
      <c r="B15" s="13"/>
      <c r="D15" s="16"/>
      <c r="E15" s="3"/>
      <c r="F15" s="14" t="str">
        <f>IF(Tablo13489131415161718[[#This Row],[SATIŞ]]=0,"Açık",(E15-D15)*C15-3)</f>
        <v>Açık</v>
      </c>
      <c r="G15" s="15">
        <f>IF(Tablo13489131415161718[[#This Row],[ALIŞ]]&gt;0,Tablo13489131415161718[[#This Row],[ADET]]*Tablo13489131415161718[[#This Row],[ALIŞ]]+1.5,0)</f>
        <v>0</v>
      </c>
      <c r="H15" s="15">
        <f>IF(Tablo13489131415161718[[#This Row],[SATIŞ]]&gt;0,(Tablo13489131415161718[[#This Row],[ADET]]*Tablo13489131415161718[[#This Row],[SATIŞ]]-1.5),0)</f>
        <v>0</v>
      </c>
    </row>
    <row r="16" spans="2:18" ht="21" customHeight="1" x14ac:dyDescent="0.3">
      <c r="B16" s="13"/>
      <c r="D16" s="16"/>
      <c r="E16" s="3"/>
      <c r="F16" s="14" t="str">
        <f>IF(Tablo13489131415161718[[#This Row],[SATIŞ]]=0,"Açık",(E16-D16)*C16-3)</f>
        <v>Açık</v>
      </c>
      <c r="G16" s="15">
        <f>IF(Tablo13489131415161718[[#This Row],[ALIŞ]]&gt;0,Tablo13489131415161718[[#This Row],[ADET]]*Tablo13489131415161718[[#This Row],[ALIŞ]]+1.5,0)</f>
        <v>0</v>
      </c>
      <c r="H16" s="15">
        <f>IF(Tablo13489131415161718[[#This Row],[SATIŞ]]&gt;0,(Tablo13489131415161718[[#This Row],[ADET]]*Tablo13489131415161718[[#This Row],[SATIŞ]]-1.5),0)</f>
        <v>0</v>
      </c>
    </row>
    <row r="17" spans="2:8" ht="21" customHeight="1" x14ac:dyDescent="0.3">
      <c r="B17" s="13"/>
      <c r="D17" s="16"/>
      <c r="E17" s="3"/>
      <c r="F17" s="14" t="str">
        <f>IF(Tablo13489131415161718[[#This Row],[SATIŞ]]=0,"Açık",(E17-D17)*C17-3)</f>
        <v>Açık</v>
      </c>
      <c r="G17" s="15">
        <f>IF(Tablo13489131415161718[[#This Row],[ALIŞ]]&gt;0,Tablo13489131415161718[[#This Row],[ADET]]*Tablo13489131415161718[[#This Row],[ALIŞ]]+1.5,0)</f>
        <v>0</v>
      </c>
      <c r="H17" s="15">
        <f>IF(Tablo13489131415161718[[#This Row],[SATIŞ]]&gt;0,(Tablo13489131415161718[[#This Row],[ADET]]*Tablo13489131415161718[[#This Row],[SATIŞ]]-1.5),0)</f>
        <v>0</v>
      </c>
    </row>
    <row r="18" spans="2:8" ht="21" customHeight="1" x14ac:dyDescent="0.3">
      <c r="B18" s="13"/>
      <c r="D18" s="16"/>
      <c r="E18" s="3"/>
      <c r="F18" s="14" t="str">
        <f>IF(Tablo13489131415161718[[#This Row],[SATIŞ]]=0,"Açık",(E18-D18)*C18-3)</f>
        <v>Açık</v>
      </c>
      <c r="G18" s="15">
        <f>IF(Tablo13489131415161718[[#This Row],[ALIŞ]]&gt;0,Tablo13489131415161718[[#This Row],[ADET]]*Tablo13489131415161718[[#This Row],[ALIŞ]]+1.5,0)</f>
        <v>0</v>
      </c>
      <c r="H18" s="15">
        <f>IF(Tablo13489131415161718[[#This Row],[SATIŞ]]&gt;0,(Tablo13489131415161718[[#This Row],[ADET]]*Tablo13489131415161718[[#This Row],[SATIŞ]]-1.5),0)</f>
        <v>0</v>
      </c>
    </row>
    <row r="19" spans="2:8" ht="21" customHeight="1" x14ac:dyDescent="0.3">
      <c r="B19" s="13"/>
      <c r="D19" s="16"/>
      <c r="E19" s="3"/>
      <c r="F19" s="14" t="str">
        <f>IF(Tablo13489131415161718[[#This Row],[SATIŞ]]=0,"Açık",(E19-D19)*C19-3)</f>
        <v>Açık</v>
      </c>
      <c r="G19" s="15">
        <f>IF(Tablo13489131415161718[[#This Row],[ALIŞ]]&gt;0,Tablo13489131415161718[[#This Row],[ADET]]*Tablo13489131415161718[[#This Row],[ALIŞ]]+1.5,0)</f>
        <v>0</v>
      </c>
      <c r="H19" s="15">
        <f>IF(Tablo13489131415161718[[#This Row],[SATIŞ]]&gt;0,(Tablo13489131415161718[[#This Row],[ADET]]*Tablo13489131415161718[[#This Row],[SATIŞ]]-1.5),0)</f>
        <v>0</v>
      </c>
    </row>
    <row r="20" spans="2:8" ht="21" customHeight="1" x14ac:dyDescent="0.3">
      <c r="B20" s="13"/>
      <c r="D20" s="16"/>
      <c r="E20" s="3"/>
      <c r="F20" s="14" t="str">
        <f>IF(Tablo13489131415161718[[#This Row],[SATIŞ]]=0,"Açık",(E20-D20)*C20-3)</f>
        <v>Açık</v>
      </c>
      <c r="G20" s="15">
        <f>IF(Tablo13489131415161718[[#This Row],[ALIŞ]]&gt;0,Tablo13489131415161718[[#This Row],[ADET]]*Tablo13489131415161718[[#This Row],[ALIŞ]]+1.5,0)</f>
        <v>0</v>
      </c>
      <c r="H20" s="15">
        <f>IF(Tablo13489131415161718[[#This Row],[SATIŞ]]&gt;0,(Tablo13489131415161718[[#This Row],[ADET]]*Tablo13489131415161718[[#This Row],[SATIŞ]]-1.5),0)</f>
        <v>0</v>
      </c>
    </row>
    <row r="21" spans="2:8" ht="21" customHeight="1" x14ac:dyDescent="0.3">
      <c r="B21" s="13"/>
      <c r="D21" s="16"/>
      <c r="E21" s="3"/>
      <c r="F21" s="14" t="str">
        <f>IF(Tablo13489131415161718[[#This Row],[SATIŞ]]=0,"Açık",(E21-D21)*C21-3)</f>
        <v>Açık</v>
      </c>
      <c r="G21" s="15">
        <f>IF(Tablo13489131415161718[[#This Row],[ALIŞ]]&gt;0,Tablo13489131415161718[[#This Row],[ADET]]*Tablo13489131415161718[[#This Row],[ALIŞ]]+1.5,0)</f>
        <v>0</v>
      </c>
      <c r="H21" s="15">
        <f>IF(Tablo13489131415161718[[#This Row],[SATIŞ]]&gt;0,(Tablo13489131415161718[[#This Row],[ADET]]*Tablo13489131415161718[[#This Row],[SATIŞ]]-1.5),0)</f>
        <v>0</v>
      </c>
    </row>
    <row r="22" spans="2:8" ht="21" customHeight="1" x14ac:dyDescent="0.3">
      <c r="B22" s="13"/>
      <c r="D22" s="16"/>
      <c r="E22" s="3"/>
      <c r="F22" s="14" t="str">
        <f>IF(Tablo13489131415161718[[#This Row],[SATIŞ]]=0,"Açık",(E22-D22)*C22-3)</f>
        <v>Açık</v>
      </c>
      <c r="G22" s="15">
        <f>IF(Tablo13489131415161718[[#This Row],[ALIŞ]]&gt;0,Tablo13489131415161718[[#This Row],[ADET]]*Tablo13489131415161718[[#This Row],[ALIŞ]]+1.5,0)</f>
        <v>0</v>
      </c>
      <c r="H22" s="15">
        <f>IF(Tablo13489131415161718[[#This Row],[SATIŞ]]&gt;0,(Tablo13489131415161718[[#This Row],[ADET]]*Tablo13489131415161718[[#This Row],[SATIŞ]]-1.5),0)</f>
        <v>0</v>
      </c>
    </row>
    <row r="23" spans="2:8" ht="21" customHeight="1" x14ac:dyDescent="0.3">
      <c r="B23" s="13"/>
      <c r="D23" s="16"/>
      <c r="E23" s="3"/>
      <c r="F23" s="14" t="str">
        <f>IF(Tablo13489131415161718[[#This Row],[SATIŞ]]=0,"Açık",(E23-D23)*C23-3)</f>
        <v>Açık</v>
      </c>
      <c r="G23" s="15">
        <f>IF(Tablo13489131415161718[[#This Row],[ALIŞ]]&gt;0,Tablo13489131415161718[[#This Row],[ADET]]*Tablo13489131415161718[[#This Row],[ALIŞ]]+1.5,0)</f>
        <v>0</v>
      </c>
      <c r="H23" s="15">
        <f>IF(Tablo13489131415161718[[#This Row],[SATIŞ]]&gt;0,(Tablo13489131415161718[[#This Row],[ADET]]*Tablo13489131415161718[[#This Row],[SATIŞ]]-1.5),0)</f>
        <v>0</v>
      </c>
    </row>
    <row r="24" spans="2:8" ht="21" customHeight="1" x14ac:dyDescent="0.3">
      <c r="B24" s="13"/>
      <c r="D24" s="16"/>
      <c r="E24" s="3"/>
      <c r="F24" s="14" t="str">
        <f>IF(Tablo13489131415161718[[#This Row],[SATIŞ]]=0,"Açık",(E24-D24)*C24-3)</f>
        <v>Açık</v>
      </c>
      <c r="G24" s="15">
        <f>IF(Tablo13489131415161718[[#This Row],[ALIŞ]]&gt;0,Tablo13489131415161718[[#This Row],[ADET]]*Tablo13489131415161718[[#This Row],[ALIŞ]]+1.5,0)</f>
        <v>0</v>
      </c>
      <c r="H24" s="15">
        <f>IF(Tablo13489131415161718[[#This Row],[SATIŞ]]&gt;0,(Tablo13489131415161718[[#This Row],[ADET]]*Tablo13489131415161718[[#This Row],[SATIŞ]]-1.5),0)</f>
        <v>0</v>
      </c>
    </row>
    <row r="25" spans="2:8" ht="21" customHeight="1" x14ac:dyDescent="0.3">
      <c r="B25" s="13"/>
      <c r="D25" s="16"/>
      <c r="E25" s="3"/>
      <c r="F25" s="14" t="str">
        <f>IF(Tablo13489131415161718[[#This Row],[SATIŞ]]=0,"Açık",(E25-D25)*C25-3)</f>
        <v>Açık</v>
      </c>
      <c r="G25" s="15">
        <f>IF(Tablo13489131415161718[[#This Row],[ALIŞ]]&gt;0,Tablo13489131415161718[[#This Row],[ADET]]*Tablo13489131415161718[[#This Row],[ALIŞ]]+1.5,0)</f>
        <v>0</v>
      </c>
      <c r="H25" s="15">
        <f>IF(Tablo13489131415161718[[#This Row],[SATIŞ]]&gt;0,(Tablo13489131415161718[[#This Row],[ADET]]*Tablo13489131415161718[[#This Row],[SATIŞ]]-1.5),0)</f>
        <v>0</v>
      </c>
    </row>
    <row r="26" spans="2:8" ht="21" customHeight="1" x14ac:dyDescent="0.3">
      <c r="B26" s="13"/>
      <c r="D26" s="16"/>
      <c r="E26" s="3"/>
      <c r="F26" s="14" t="str">
        <f>IF(Tablo13489131415161718[[#This Row],[SATIŞ]]=0,"Açık",(E26-D26)*C26-3)</f>
        <v>Açık</v>
      </c>
      <c r="G26" s="15">
        <f>IF(Tablo13489131415161718[[#This Row],[ALIŞ]]&gt;0,Tablo13489131415161718[[#This Row],[ADET]]*Tablo13489131415161718[[#This Row],[ALIŞ]]+1.5,0)</f>
        <v>0</v>
      </c>
      <c r="H26" s="15">
        <f>IF(Tablo13489131415161718[[#This Row],[SATIŞ]]&gt;0,(Tablo13489131415161718[[#This Row],[ADET]]*Tablo13489131415161718[[#This Row],[SATIŞ]]-1.5),0)</f>
        <v>0</v>
      </c>
    </row>
    <row r="27" spans="2:8" ht="21" customHeight="1" x14ac:dyDescent="0.3">
      <c r="B27" s="13"/>
      <c r="D27" s="16"/>
      <c r="E27" s="3"/>
      <c r="F27" s="14" t="str">
        <f>IF(Tablo13489131415161718[[#This Row],[SATIŞ]]=0,"Açık",(E27-D27)*C27-3)</f>
        <v>Açık</v>
      </c>
      <c r="G27" s="15">
        <f>IF(Tablo13489131415161718[[#This Row],[ALIŞ]]&gt;0,Tablo13489131415161718[[#This Row],[ADET]]*Tablo13489131415161718[[#This Row],[ALIŞ]]+1.5,0)</f>
        <v>0</v>
      </c>
      <c r="H27" s="15">
        <f>IF(Tablo13489131415161718[[#This Row],[SATIŞ]]&gt;0,(Tablo13489131415161718[[#This Row],[ADET]]*Tablo13489131415161718[[#This Row],[SATIŞ]]-1.5),0)</f>
        <v>0</v>
      </c>
    </row>
  </sheetData>
  <conditionalFormatting sqref="B4:E4 B5:F27">
    <cfRule type="expression" dxfId="23" priority="4">
      <formula>$F4&lt;0</formula>
    </cfRule>
    <cfRule type="expression" dxfId="22" priority="5">
      <formula>$F4="Açık"</formula>
    </cfRule>
    <cfRule type="expression" dxfId="21" priority="6">
      <formula>$F4&gt;0</formula>
    </cfRule>
  </conditionalFormatting>
  <conditionalFormatting sqref="F4">
    <cfRule type="expression" dxfId="20" priority="1">
      <formula>$F4&lt;0</formula>
    </cfRule>
    <cfRule type="expression" dxfId="19" priority="2">
      <formula>$F4="Açık"</formula>
    </cfRule>
    <cfRule type="expression" dxfId="18" priority="3">
      <formula>$F4&gt;0</formula>
    </cfRule>
  </conditionalFormatting>
  <hyperlinks>
    <hyperlink ref="B1" location="İcmal!A1" display="ANA SAYFA" xr:uid="{C1E90F3D-96CB-4D42-8EF3-51F8AC3F5C59}"/>
  </hyperlink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DD99-5344-427A-A349-DA8144438561}">
  <dimension ref="B1:R27"/>
  <sheetViews>
    <sheetView workbookViewId="0">
      <selection activeCell="D2" sqref="D2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9" customWidth="1"/>
    <col min="6" max="6" width="12.88671875" style="10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SUMIF(Tablo134891314151617181920[KAR],"Açık",Tablo134891314151617181920[ADET])</f>
        <v>2</v>
      </c>
      <c r="D1" s="3">
        <f>+İcmal!E37</f>
        <v>149.66</v>
      </c>
      <c r="E1" s="3">
        <f>C1*D1</f>
        <v>299.32</v>
      </c>
      <c r="F1" s="3">
        <f>IFERROR(((SUM(Tablo134891314151617181920[ALIŞ TUTAR])-SUM(Tablo134891314151617181920[SATIŞ TUTAR]))/C1),"")</f>
        <v>181.1</v>
      </c>
      <c r="G1" s="3">
        <f>IF(M3=0,L3,C1*(D1-F1))</f>
        <v>-62.879999999999995</v>
      </c>
      <c r="J1" s="4">
        <v>0.02</v>
      </c>
      <c r="L1" s="5">
        <f>M1*(1-$J$1)</f>
        <v>177.47799999999998</v>
      </c>
      <c r="M1" s="6">
        <f>F1</f>
        <v>181.1</v>
      </c>
      <c r="N1" s="5">
        <f>M1*(1+$J$1)</f>
        <v>184.72200000000001</v>
      </c>
      <c r="P1" s="5">
        <f>Q1*(1-$J$1)</f>
        <v>146.66679999999999</v>
      </c>
      <c r="Q1" s="6">
        <f>+D1</f>
        <v>149.66</v>
      </c>
      <c r="R1" s="5">
        <f>Q1*(1+$J$1)</f>
        <v>152.6532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  <c r="L3" s="6">
        <f>SUM(Tablo134891314151617181920[KAR])</f>
        <v>0</v>
      </c>
      <c r="M3" s="12">
        <f>C1</f>
        <v>2</v>
      </c>
    </row>
    <row r="4" spans="2:18" ht="21" customHeight="1" x14ac:dyDescent="0.3">
      <c r="B4" s="13">
        <v>44897</v>
      </c>
      <c r="C4" s="8">
        <v>1</v>
      </c>
      <c r="D4" s="16">
        <v>189.19</v>
      </c>
      <c r="E4" s="3"/>
      <c r="F4" s="14" t="str">
        <f>IF(Tablo134891314151617181920[[#This Row],[SATIŞ]]=0,"Açık",(E4-D4)*C4-3)</f>
        <v>Açık</v>
      </c>
      <c r="G4" s="15">
        <f>IF(Tablo134891314151617181920[[#This Row],[ALIŞ]]&gt;0,Tablo134891314151617181920[[#This Row],[ADET]]*Tablo134891314151617181920[[#This Row],[ALIŞ]]+1.5,0)</f>
        <v>190.69</v>
      </c>
      <c r="H4" s="15">
        <f>IF(Tablo134891314151617181920[[#This Row],[SATIŞ]]&gt;0,(Tablo134891314151617181920[[#This Row],[ADET]]*Tablo134891314151617181920[[#This Row],[SATIŞ]]-1.5),0)</f>
        <v>0</v>
      </c>
      <c r="L4" s="5"/>
      <c r="M4" s="5"/>
      <c r="N4" s="5"/>
    </row>
    <row r="5" spans="2:18" ht="21" customHeight="1" x14ac:dyDescent="0.3">
      <c r="B5" s="13">
        <v>45076</v>
      </c>
      <c r="C5" s="8">
        <v>1</v>
      </c>
      <c r="D5" s="16">
        <v>170.01</v>
      </c>
      <c r="E5" s="3"/>
      <c r="F5" s="14" t="str">
        <f>IF(Tablo134891314151617181920[[#This Row],[SATIŞ]]=0,"Açık",(E5-D5)*C5-3)</f>
        <v>Açık</v>
      </c>
      <c r="G5" s="15">
        <f>IF(Tablo134891314151617181920[[#This Row],[ALIŞ]]&gt;0,Tablo134891314151617181920[[#This Row],[ADET]]*Tablo134891314151617181920[[#This Row],[ALIŞ]]+1.5,0)</f>
        <v>171.51</v>
      </c>
      <c r="H5" s="15">
        <f>IF(Tablo134891314151617181920[[#This Row],[SATIŞ]]&gt;0,(Tablo134891314151617181920[[#This Row],[ADET]]*Tablo134891314151617181920[[#This Row],[SATIŞ]]-1.5),0)</f>
        <v>0</v>
      </c>
    </row>
    <row r="6" spans="2:18" ht="21" customHeight="1" x14ac:dyDescent="0.3">
      <c r="B6" s="13"/>
      <c r="D6" s="16"/>
      <c r="E6" s="3"/>
      <c r="F6" s="14" t="str">
        <f>IF(Tablo134891314151617181920[[#This Row],[SATIŞ]]=0,"Açık",(E6-D6)*C6-3)</f>
        <v>Açık</v>
      </c>
      <c r="G6" s="15">
        <f>IF(Tablo134891314151617181920[[#This Row],[ALIŞ]]&gt;0,Tablo134891314151617181920[[#This Row],[ADET]]*Tablo134891314151617181920[[#This Row],[ALIŞ]]+1.5,0)</f>
        <v>0</v>
      </c>
      <c r="H6" s="15">
        <f>IF(Tablo134891314151617181920[[#This Row],[SATIŞ]]&gt;0,(Tablo134891314151617181920[[#This Row],[ADET]]*Tablo134891314151617181920[[#This Row],[SATIŞ]]-1.5),0)</f>
        <v>0</v>
      </c>
    </row>
    <row r="7" spans="2:18" ht="21" customHeight="1" x14ac:dyDescent="0.3">
      <c r="B7" s="13"/>
      <c r="D7" s="16"/>
      <c r="E7" s="3"/>
      <c r="F7" s="14" t="str">
        <f>IF(Tablo134891314151617181920[[#This Row],[SATIŞ]]=0,"Açık",(E7-D7)*C7-3)</f>
        <v>Açık</v>
      </c>
      <c r="G7" s="15">
        <f>IF(Tablo134891314151617181920[[#This Row],[ALIŞ]]&gt;0,Tablo134891314151617181920[[#This Row],[ADET]]*Tablo134891314151617181920[[#This Row],[ALIŞ]]+1.5,0)</f>
        <v>0</v>
      </c>
      <c r="H7" s="15">
        <f>IF(Tablo134891314151617181920[[#This Row],[SATIŞ]]&gt;0,(Tablo134891314151617181920[[#This Row],[ADET]]*Tablo134891314151617181920[[#This Row],[SATIŞ]]-1.5),0)</f>
        <v>0</v>
      </c>
    </row>
    <row r="8" spans="2:18" ht="21" customHeight="1" x14ac:dyDescent="0.3">
      <c r="B8" s="13"/>
      <c r="D8" s="16"/>
      <c r="E8" s="3"/>
      <c r="F8" s="14" t="str">
        <f>IF(Tablo134891314151617181920[[#This Row],[SATIŞ]]=0,"Açık",(E8-D8)*C8-3)</f>
        <v>Açık</v>
      </c>
      <c r="G8" s="15">
        <f>IF(Tablo134891314151617181920[[#This Row],[ALIŞ]]&gt;0,Tablo134891314151617181920[[#This Row],[ADET]]*Tablo134891314151617181920[[#This Row],[ALIŞ]]+1.5,0)</f>
        <v>0</v>
      </c>
      <c r="H8" s="15">
        <f>IF(Tablo134891314151617181920[[#This Row],[SATIŞ]]&gt;0,(Tablo134891314151617181920[[#This Row],[ADET]]*Tablo134891314151617181920[[#This Row],[SATIŞ]]-1.5),0)</f>
        <v>0</v>
      </c>
    </row>
    <row r="9" spans="2:18" ht="21" customHeight="1" x14ac:dyDescent="0.3">
      <c r="B9" s="13"/>
      <c r="D9" s="16"/>
      <c r="E9" s="3"/>
      <c r="F9" s="14" t="str">
        <f>IF(Tablo134891314151617181920[[#This Row],[SATIŞ]]=0,"Açık",(E9-D9)*C9-3)</f>
        <v>Açık</v>
      </c>
      <c r="G9" s="15">
        <f>IF(Tablo134891314151617181920[[#This Row],[ALIŞ]]&gt;0,Tablo134891314151617181920[[#This Row],[ADET]]*Tablo134891314151617181920[[#This Row],[ALIŞ]]+1.5,0)</f>
        <v>0</v>
      </c>
      <c r="H9" s="15">
        <f>IF(Tablo134891314151617181920[[#This Row],[SATIŞ]]&gt;0,(Tablo134891314151617181920[[#This Row],[ADET]]*Tablo134891314151617181920[[#This Row],[SATIŞ]]-1.5),0)</f>
        <v>0</v>
      </c>
    </row>
    <row r="10" spans="2:18" ht="21" customHeight="1" x14ac:dyDescent="0.3">
      <c r="B10" s="13"/>
      <c r="D10" s="16"/>
      <c r="E10" s="3"/>
      <c r="F10" s="14" t="str">
        <f>IF(Tablo134891314151617181920[[#This Row],[SATIŞ]]=0,"Açık",(E10-D10)*C10-3)</f>
        <v>Açık</v>
      </c>
      <c r="G10" s="15">
        <f>IF(Tablo134891314151617181920[[#This Row],[ALIŞ]]&gt;0,Tablo134891314151617181920[[#This Row],[ADET]]*Tablo134891314151617181920[[#This Row],[ALIŞ]]+1.5,0)</f>
        <v>0</v>
      </c>
      <c r="H10" s="15">
        <f>IF(Tablo134891314151617181920[[#This Row],[SATIŞ]]&gt;0,(Tablo134891314151617181920[[#This Row],[ADET]]*Tablo134891314151617181920[[#This Row],[SATIŞ]]-1.5),0)</f>
        <v>0</v>
      </c>
    </row>
    <row r="11" spans="2:18" ht="21" customHeight="1" x14ac:dyDescent="0.3">
      <c r="B11" s="13"/>
      <c r="D11" s="16"/>
      <c r="E11" s="3"/>
      <c r="F11" s="14" t="str">
        <f>IF(Tablo134891314151617181920[[#This Row],[SATIŞ]]=0,"Açık",(E11-D11)*C11-3)</f>
        <v>Açık</v>
      </c>
      <c r="G11" s="15">
        <f>IF(Tablo134891314151617181920[[#This Row],[ALIŞ]]&gt;0,Tablo134891314151617181920[[#This Row],[ADET]]*Tablo134891314151617181920[[#This Row],[ALIŞ]]+1.5,0)</f>
        <v>0</v>
      </c>
      <c r="H11" s="15">
        <f>IF(Tablo134891314151617181920[[#This Row],[SATIŞ]]&gt;0,(Tablo134891314151617181920[[#This Row],[ADET]]*Tablo134891314151617181920[[#This Row],[SATIŞ]]-1.5),0)</f>
        <v>0</v>
      </c>
      <c r="J11">
        <f>+Tablo134891314151617181920[[#This Row],[ALIŞ]]*1.02</f>
        <v>0</v>
      </c>
    </row>
    <row r="12" spans="2:18" ht="21" customHeight="1" x14ac:dyDescent="0.3">
      <c r="B12" s="13"/>
      <c r="D12" s="16"/>
      <c r="E12" s="3"/>
      <c r="F12" s="14" t="str">
        <f>IF(Tablo134891314151617181920[[#This Row],[SATIŞ]]=0,"Açık",(E12-D12)*C12-3)</f>
        <v>Açık</v>
      </c>
      <c r="G12" s="15">
        <f>IF(Tablo134891314151617181920[[#This Row],[ALIŞ]]&gt;0,Tablo134891314151617181920[[#This Row],[ADET]]*Tablo134891314151617181920[[#This Row],[ALIŞ]]+1.5,0)</f>
        <v>0</v>
      </c>
      <c r="H12" s="15">
        <f>IF(Tablo134891314151617181920[[#This Row],[SATIŞ]]&gt;0,(Tablo134891314151617181920[[#This Row],[ADET]]*Tablo134891314151617181920[[#This Row],[SATIŞ]]-1.5),0)</f>
        <v>0</v>
      </c>
    </row>
    <row r="13" spans="2:18" ht="21" customHeight="1" x14ac:dyDescent="0.3">
      <c r="B13" s="13"/>
      <c r="D13" s="16"/>
      <c r="E13" s="3"/>
      <c r="F13" s="14" t="str">
        <f>IF(Tablo134891314151617181920[[#This Row],[SATIŞ]]=0,"Açık",(E13-D13)*C13-3)</f>
        <v>Açık</v>
      </c>
      <c r="G13" s="15">
        <f>IF(Tablo134891314151617181920[[#This Row],[ALIŞ]]&gt;0,Tablo134891314151617181920[[#This Row],[ADET]]*Tablo134891314151617181920[[#This Row],[ALIŞ]]+1.5,0)</f>
        <v>0</v>
      </c>
      <c r="H13" s="15">
        <f>IF(Tablo134891314151617181920[[#This Row],[SATIŞ]]&gt;0,(Tablo134891314151617181920[[#This Row],[ADET]]*Tablo134891314151617181920[[#This Row],[SATIŞ]]-1.5),0)</f>
        <v>0</v>
      </c>
    </row>
    <row r="14" spans="2:18" ht="21" customHeight="1" x14ac:dyDescent="0.3">
      <c r="B14" s="13"/>
      <c r="D14" s="16"/>
      <c r="E14" s="3"/>
      <c r="F14" s="14" t="str">
        <f>IF(Tablo134891314151617181920[[#This Row],[SATIŞ]]=0,"Açık",(E14-D14)*C14-3)</f>
        <v>Açık</v>
      </c>
      <c r="G14" s="15">
        <f>IF(Tablo134891314151617181920[[#This Row],[ALIŞ]]&gt;0,Tablo134891314151617181920[[#This Row],[ADET]]*Tablo134891314151617181920[[#This Row],[ALIŞ]]+1.5,0)</f>
        <v>0</v>
      </c>
      <c r="H14" s="15">
        <f>IF(Tablo134891314151617181920[[#This Row],[SATIŞ]]&gt;0,(Tablo134891314151617181920[[#This Row],[ADET]]*Tablo134891314151617181920[[#This Row],[SATIŞ]]-1.5),0)</f>
        <v>0</v>
      </c>
    </row>
    <row r="15" spans="2:18" ht="21" customHeight="1" x14ac:dyDescent="0.3">
      <c r="B15" s="13"/>
      <c r="D15" s="16"/>
      <c r="E15" s="3"/>
      <c r="F15" s="14" t="str">
        <f>IF(Tablo134891314151617181920[[#This Row],[SATIŞ]]=0,"Açık",(E15-D15)*C15-3)</f>
        <v>Açık</v>
      </c>
      <c r="G15" s="15">
        <f>IF(Tablo134891314151617181920[[#This Row],[ALIŞ]]&gt;0,Tablo134891314151617181920[[#This Row],[ADET]]*Tablo134891314151617181920[[#This Row],[ALIŞ]]+1.5,0)</f>
        <v>0</v>
      </c>
      <c r="H15" s="15">
        <f>IF(Tablo134891314151617181920[[#This Row],[SATIŞ]]&gt;0,(Tablo134891314151617181920[[#This Row],[ADET]]*Tablo134891314151617181920[[#This Row],[SATIŞ]]-1.5),0)</f>
        <v>0</v>
      </c>
    </row>
    <row r="16" spans="2:18" ht="21" customHeight="1" x14ac:dyDescent="0.3">
      <c r="B16" s="13"/>
      <c r="D16" s="16"/>
      <c r="E16" s="3"/>
      <c r="F16" s="14" t="str">
        <f>IF(Tablo134891314151617181920[[#This Row],[SATIŞ]]=0,"Açık",(E16-D16)*C16-3)</f>
        <v>Açık</v>
      </c>
      <c r="G16" s="15">
        <f>IF(Tablo134891314151617181920[[#This Row],[ALIŞ]]&gt;0,Tablo134891314151617181920[[#This Row],[ADET]]*Tablo134891314151617181920[[#This Row],[ALIŞ]]+1.5,0)</f>
        <v>0</v>
      </c>
      <c r="H16" s="15">
        <f>IF(Tablo134891314151617181920[[#This Row],[SATIŞ]]&gt;0,(Tablo134891314151617181920[[#This Row],[ADET]]*Tablo134891314151617181920[[#This Row],[SATIŞ]]-1.5),0)</f>
        <v>0</v>
      </c>
    </row>
    <row r="17" spans="2:8" ht="21" customHeight="1" x14ac:dyDescent="0.3">
      <c r="B17" s="13"/>
      <c r="D17" s="16"/>
      <c r="E17" s="3"/>
      <c r="F17" s="14" t="str">
        <f>IF(Tablo134891314151617181920[[#This Row],[SATIŞ]]=0,"Açık",(E17-D17)*C17-3)</f>
        <v>Açık</v>
      </c>
      <c r="G17" s="15">
        <f>IF(Tablo134891314151617181920[[#This Row],[ALIŞ]]&gt;0,Tablo134891314151617181920[[#This Row],[ADET]]*Tablo134891314151617181920[[#This Row],[ALIŞ]]+1.5,0)</f>
        <v>0</v>
      </c>
      <c r="H17" s="15">
        <f>IF(Tablo134891314151617181920[[#This Row],[SATIŞ]]&gt;0,(Tablo134891314151617181920[[#This Row],[ADET]]*Tablo134891314151617181920[[#This Row],[SATIŞ]]-1.5),0)</f>
        <v>0</v>
      </c>
    </row>
    <row r="18" spans="2:8" ht="21" customHeight="1" x14ac:dyDescent="0.3">
      <c r="B18" s="13"/>
      <c r="D18" s="16"/>
      <c r="E18" s="3"/>
      <c r="F18" s="14" t="str">
        <f>IF(Tablo134891314151617181920[[#This Row],[SATIŞ]]=0,"Açık",(E18-D18)*C18-3)</f>
        <v>Açık</v>
      </c>
      <c r="G18" s="15">
        <f>IF(Tablo134891314151617181920[[#This Row],[ALIŞ]]&gt;0,Tablo134891314151617181920[[#This Row],[ADET]]*Tablo134891314151617181920[[#This Row],[ALIŞ]]+1.5,0)</f>
        <v>0</v>
      </c>
      <c r="H18" s="15">
        <f>IF(Tablo134891314151617181920[[#This Row],[SATIŞ]]&gt;0,(Tablo134891314151617181920[[#This Row],[ADET]]*Tablo134891314151617181920[[#This Row],[SATIŞ]]-1.5),0)</f>
        <v>0</v>
      </c>
    </row>
    <row r="19" spans="2:8" ht="21" customHeight="1" x14ac:dyDescent="0.3">
      <c r="B19" s="13"/>
      <c r="D19" s="16"/>
      <c r="E19" s="3"/>
      <c r="F19" s="14" t="str">
        <f>IF(Tablo134891314151617181920[[#This Row],[SATIŞ]]=0,"Açık",(E19-D19)*C19-3)</f>
        <v>Açık</v>
      </c>
      <c r="G19" s="15">
        <f>IF(Tablo134891314151617181920[[#This Row],[ALIŞ]]&gt;0,Tablo134891314151617181920[[#This Row],[ADET]]*Tablo134891314151617181920[[#This Row],[ALIŞ]]+1.5,0)</f>
        <v>0</v>
      </c>
      <c r="H19" s="15">
        <f>IF(Tablo134891314151617181920[[#This Row],[SATIŞ]]&gt;0,(Tablo134891314151617181920[[#This Row],[ADET]]*Tablo134891314151617181920[[#This Row],[SATIŞ]]-1.5),0)</f>
        <v>0</v>
      </c>
    </row>
    <row r="20" spans="2:8" ht="21" customHeight="1" x14ac:dyDescent="0.3">
      <c r="B20" s="13"/>
      <c r="D20" s="16"/>
      <c r="E20" s="3"/>
      <c r="F20" s="14" t="str">
        <f>IF(Tablo134891314151617181920[[#This Row],[SATIŞ]]=0,"Açık",(E20-D20)*C20-3)</f>
        <v>Açık</v>
      </c>
      <c r="G20" s="15">
        <f>IF(Tablo134891314151617181920[[#This Row],[ALIŞ]]&gt;0,Tablo134891314151617181920[[#This Row],[ADET]]*Tablo134891314151617181920[[#This Row],[ALIŞ]]+1.5,0)</f>
        <v>0</v>
      </c>
      <c r="H20" s="15">
        <f>IF(Tablo134891314151617181920[[#This Row],[SATIŞ]]&gt;0,(Tablo134891314151617181920[[#This Row],[ADET]]*Tablo134891314151617181920[[#This Row],[SATIŞ]]-1.5),0)</f>
        <v>0</v>
      </c>
    </row>
    <row r="21" spans="2:8" ht="21" customHeight="1" x14ac:dyDescent="0.3">
      <c r="B21" s="13"/>
      <c r="D21" s="16"/>
      <c r="E21" s="3"/>
      <c r="F21" s="14" t="str">
        <f>IF(Tablo134891314151617181920[[#This Row],[SATIŞ]]=0,"Açık",(E21-D21)*C21-3)</f>
        <v>Açık</v>
      </c>
      <c r="G21" s="15">
        <f>IF(Tablo134891314151617181920[[#This Row],[ALIŞ]]&gt;0,Tablo134891314151617181920[[#This Row],[ADET]]*Tablo134891314151617181920[[#This Row],[ALIŞ]]+1.5,0)</f>
        <v>0</v>
      </c>
      <c r="H21" s="15">
        <f>IF(Tablo134891314151617181920[[#This Row],[SATIŞ]]&gt;0,(Tablo134891314151617181920[[#This Row],[ADET]]*Tablo134891314151617181920[[#This Row],[SATIŞ]]-1.5),0)</f>
        <v>0</v>
      </c>
    </row>
    <row r="22" spans="2:8" ht="21" customHeight="1" x14ac:dyDescent="0.3">
      <c r="B22" s="13"/>
      <c r="D22" s="16"/>
      <c r="E22" s="3"/>
      <c r="F22" s="14" t="str">
        <f>IF(Tablo134891314151617181920[[#This Row],[SATIŞ]]=0,"Açık",(E22-D22)*C22-3)</f>
        <v>Açık</v>
      </c>
      <c r="G22" s="15">
        <f>IF(Tablo134891314151617181920[[#This Row],[ALIŞ]]&gt;0,Tablo134891314151617181920[[#This Row],[ADET]]*Tablo134891314151617181920[[#This Row],[ALIŞ]]+1.5,0)</f>
        <v>0</v>
      </c>
      <c r="H22" s="15">
        <f>IF(Tablo134891314151617181920[[#This Row],[SATIŞ]]&gt;0,(Tablo134891314151617181920[[#This Row],[ADET]]*Tablo134891314151617181920[[#This Row],[SATIŞ]]-1.5),0)</f>
        <v>0</v>
      </c>
    </row>
    <row r="23" spans="2:8" ht="21" customHeight="1" x14ac:dyDescent="0.3">
      <c r="B23" s="13"/>
      <c r="D23" s="16"/>
      <c r="E23" s="3"/>
      <c r="F23" s="14" t="str">
        <f>IF(Tablo134891314151617181920[[#This Row],[SATIŞ]]=0,"Açık",(E23-D23)*C23-3)</f>
        <v>Açık</v>
      </c>
      <c r="G23" s="15">
        <f>IF(Tablo134891314151617181920[[#This Row],[ALIŞ]]&gt;0,Tablo134891314151617181920[[#This Row],[ADET]]*Tablo134891314151617181920[[#This Row],[ALIŞ]]+1.5,0)</f>
        <v>0</v>
      </c>
      <c r="H23" s="15">
        <f>IF(Tablo134891314151617181920[[#This Row],[SATIŞ]]&gt;0,(Tablo134891314151617181920[[#This Row],[ADET]]*Tablo134891314151617181920[[#This Row],[SATIŞ]]-1.5),0)</f>
        <v>0</v>
      </c>
    </row>
    <row r="24" spans="2:8" ht="21" customHeight="1" x14ac:dyDescent="0.3">
      <c r="B24" s="13"/>
      <c r="D24" s="16"/>
      <c r="E24" s="3"/>
      <c r="F24" s="14" t="str">
        <f>IF(Tablo134891314151617181920[[#This Row],[SATIŞ]]=0,"Açık",(E24-D24)*C24-3)</f>
        <v>Açık</v>
      </c>
      <c r="G24" s="15">
        <f>IF(Tablo134891314151617181920[[#This Row],[ALIŞ]]&gt;0,Tablo134891314151617181920[[#This Row],[ADET]]*Tablo134891314151617181920[[#This Row],[ALIŞ]]+1.5,0)</f>
        <v>0</v>
      </c>
      <c r="H24" s="15">
        <f>IF(Tablo134891314151617181920[[#This Row],[SATIŞ]]&gt;0,(Tablo134891314151617181920[[#This Row],[ADET]]*Tablo134891314151617181920[[#This Row],[SATIŞ]]-1.5),0)</f>
        <v>0</v>
      </c>
    </row>
    <row r="25" spans="2:8" ht="21" customHeight="1" x14ac:dyDescent="0.3">
      <c r="B25" s="13"/>
      <c r="D25" s="16"/>
      <c r="E25" s="3"/>
      <c r="F25" s="14" t="str">
        <f>IF(Tablo134891314151617181920[[#This Row],[SATIŞ]]=0,"Açık",(E25-D25)*C25-3)</f>
        <v>Açık</v>
      </c>
      <c r="G25" s="15">
        <f>IF(Tablo134891314151617181920[[#This Row],[ALIŞ]]&gt;0,Tablo134891314151617181920[[#This Row],[ADET]]*Tablo134891314151617181920[[#This Row],[ALIŞ]]+1.5,0)</f>
        <v>0</v>
      </c>
      <c r="H25" s="15">
        <f>IF(Tablo134891314151617181920[[#This Row],[SATIŞ]]&gt;0,(Tablo134891314151617181920[[#This Row],[ADET]]*Tablo134891314151617181920[[#This Row],[SATIŞ]]-1.5),0)</f>
        <v>0</v>
      </c>
    </row>
    <row r="26" spans="2:8" ht="21" customHeight="1" x14ac:dyDescent="0.3">
      <c r="B26" s="13"/>
      <c r="D26" s="16"/>
      <c r="E26" s="3"/>
      <c r="F26" s="14" t="str">
        <f>IF(Tablo134891314151617181920[[#This Row],[SATIŞ]]=0,"Açık",(E26-D26)*C26-3)</f>
        <v>Açık</v>
      </c>
      <c r="G26" s="15">
        <f>IF(Tablo134891314151617181920[[#This Row],[ALIŞ]]&gt;0,Tablo134891314151617181920[[#This Row],[ADET]]*Tablo134891314151617181920[[#This Row],[ALIŞ]]+1.5,0)</f>
        <v>0</v>
      </c>
      <c r="H26" s="15">
        <f>IF(Tablo134891314151617181920[[#This Row],[SATIŞ]]&gt;0,(Tablo134891314151617181920[[#This Row],[ADET]]*Tablo134891314151617181920[[#This Row],[SATIŞ]]-1.5),0)</f>
        <v>0</v>
      </c>
    </row>
    <row r="27" spans="2:8" ht="21" customHeight="1" x14ac:dyDescent="0.3">
      <c r="B27" s="13"/>
      <c r="D27" s="16"/>
      <c r="E27" s="3"/>
      <c r="F27" s="14" t="str">
        <f>IF(Tablo134891314151617181920[[#This Row],[SATIŞ]]=0,"Açık",(E27-D27)*C27-3)</f>
        <v>Açık</v>
      </c>
      <c r="G27" s="15">
        <f>IF(Tablo134891314151617181920[[#This Row],[ALIŞ]]&gt;0,Tablo134891314151617181920[[#This Row],[ADET]]*Tablo134891314151617181920[[#This Row],[ALIŞ]]+1.5,0)</f>
        <v>0</v>
      </c>
      <c r="H27" s="15">
        <f>IF(Tablo134891314151617181920[[#This Row],[SATIŞ]]&gt;0,(Tablo134891314151617181920[[#This Row],[ADET]]*Tablo134891314151617181920[[#This Row],[SATIŞ]]-1.5),0)</f>
        <v>0</v>
      </c>
    </row>
  </sheetData>
  <conditionalFormatting sqref="B4:E4 B5:F27">
    <cfRule type="expression" dxfId="17" priority="4">
      <formula>$F4&lt;0</formula>
    </cfRule>
    <cfRule type="expression" dxfId="16" priority="5">
      <formula>$F4="Açık"</formula>
    </cfRule>
    <cfRule type="expression" dxfId="15" priority="6">
      <formula>$F4&gt;0</formula>
    </cfRule>
  </conditionalFormatting>
  <conditionalFormatting sqref="F4">
    <cfRule type="expression" dxfId="14" priority="1">
      <formula>$F4&lt;0</formula>
    </cfRule>
    <cfRule type="expression" dxfId="13" priority="2">
      <formula>$F4="Açık"</formula>
    </cfRule>
    <cfRule type="expression" dxfId="12" priority="3">
      <formula>$F4&gt;0</formula>
    </cfRule>
  </conditionalFormatting>
  <hyperlinks>
    <hyperlink ref="B1" location="İcmal!A1" display="ANA SAYFA" xr:uid="{909E3FC8-D7A3-40A7-81A8-D34A5A0C721D}"/>
  </hyperlink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B4CB-150E-44A0-9F8F-733B93B8CAFD}">
  <dimension ref="B1:R27"/>
  <sheetViews>
    <sheetView workbookViewId="0">
      <selection activeCell="E6" sqref="E6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SUMIF(Tablo13426272829[KAR],"Açık",Tablo13426272829[ADET])</f>
        <v>0</v>
      </c>
      <c r="D1" s="16">
        <f>+İcmal!E38</f>
        <v>177.73</v>
      </c>
      <c r="E1" s="16">
        <f>C1*D1</f>
        <v>0</v>
      </c>
      <c r="F1" s="16" t="str">
        <f>IFERROR(((SUM(Tablo13426272829[ALIŞ TUTAR])-SUM(Tablo13426272829[SATIŞ TUTAR]))/C1),"")</f>
        <v/>
      </c>
      <c r="G1" s="3">
        <f>IF(M3=0,L3,C1*(D1-F1))</f>
        <v>28.019999999999925</v>
      </c>
      <c r="J1" s="4">
        <v>0.02</v>
      </c>
      <c r="L1" s="5" t="e">
        <f>M1*(1-$J$1)</f>
        <v>#VALUE!</v>
      </c>
      <c r="M1" s="6" t="str">
        <f>F1</f>
        <v/>
      </c>
      <c r="N1" s="5" t="e">
        <f>M1*(1+$J$1)</f>
        <v>#VALUE!</v>
      </c>
      <c r="P1" s="5">
        <f>Q1*(1-$J$1)</f>
        <v>174.1754</v>
      </c>
      <c r="Q1" s="6">
        <f>+D1</f>
        <v>177.73</v>
      </c>
      <c r="R1" s="5">
        <f>Q1*(1+$J$1)</f>
        <v>181.28459999999998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SUM(Tablo13426272829[KAR])</f>
        <v>28.019999999999925</v>
      </c>
      <c r="M3" s="12">
        <f>C1</f>
        <v>0</v>
      </c>
    </row>
    <row r="4" spans="2:18" ht="21" customHeight="1" x14ac:dyDescent="0.3">
      <c r="B4" s="13">
        <v>45328</v>
      </c>
      <c r="C4" s="8">
        <v>3</v>
      </c>
      <c r="D4" s="16">
        <v>173.68</v>
      </c>
      <c r="E4" s="16">
        <v>179</v>
      </c>
      <c r="F4" s="17">
        <f>IF(Tablo13426272829[[#This Row],[SATIŞ]]=0,"Açık",(E4-D4)*C4-3)</f>
        <v>12.95999999999998</v>
      </c>
      <c r="G4" s="15">
        <f>IF(Tablo13426272829[[#This Row],[ALIŞ]]&gt;0,Tablo13426272829[[#This Row],[ADET]]*Tablo13426272829[[#This Row],[ALIŞ]]+1.5,0)</f>
        <v>522.54</v>
      </c>
      <c r="H4" s="15">
        <f>IF(Tablo13426272829[[#This Row],[SATIŞ]]&gt;0,(Tablo13426272829[[#This Row],[ADET]]*Tablo13426272829[[#This Row],[SATIŞ]]-1.5),0)</f>
        <v>535.5</v>
      </c>
      <c r="L4" s="5"/>
      <c r="M4" s="5"/>
      <c r="N4" s="5"/>
    </row>
    <row r="5" spans="2:18" ht="21" customHeight="1" x14ac:dyDescent="0.3">
      <c r="B5" s="13">
        <v>45328</v>
      </c>
      <c r="C5" s="8">
        <v>3</v>
      </c>
      <c r="D5" s="16">
        <v>173.68</v>
      </c>
      <c r="E5" s="16">
        <v>179.7</v>
      </c>
      <c r="F5" s="17">
        <f>IF(Tablo13426272829[[#This Row],[SATIŞ]]=0,"Açık",(E5-D5)*C5-3)</f>
        <v>15.059999999999945</v>
      </c>
      <c r="G5" s="15">
        <f>IF(Tablo13426272829[[#This Row],[ALIŞ]]&gt;0,Tablo13426272829[[#This Row],[ADET]]*Tablo13426272829[[#This Row],[ALIŞ]]+1.5,0)</f>
        <v>522.54</v>
      </c>
      <c r="H5" s="15">
        <f>IF(Tablo13426272829[[#This Row],[SATIŞ]]&gt;0,(Tablo13426272829[[#This Row],[ADET]]*Tablo13426272829[[#This Row],[SATIŞ]]-1.5),0)</f>
        <v>537.59999999999991</v>
      </c>
    </row>
    <row r="6" spans="2:18" ht="21" customHeight="1" x14ac:dyDescent="0.3">
      <c r="B6" s="13"/>
      <c r="F6" s="17" t="str">
        <f>IF(Tablo13426272829[[#This Row],[SATIŞ]]=0,"Açık",(E6-D6)*C6-3)</f>
        <v>Açık</v>
      </c>
      <c r="G6" s="15">
        <f>IF(Tablo13426272829[[#This Row],[ALIŞ]]&gt;0,Tablo13426272829[[#This Row],[ADET]]*Tablo13426272829[[#This Row],[ALIŞ]]+1.5,0)</f>
        <v>0</v>
      </c>
      <c r="H6" s="15">
        <f>IF(Tablo13426272829[[#This Row],[SATIŞ]]&gt;0,(Tablo13426272829[[#This Row],[ADET]]*Tablo13426272829[[#This Row],[SATIŞ]]-1.5),0)</f>
        <v>0</v>
      </c>
    </row>
    <row r="7" spans="2:18" ht="21" customHeight="1" x14ac:dyDescent="0.3">
      <c r="B7" s="13"/>
      <c r="F7" s="17" t="str">
        <f>IF(Tablo13426272829[[#This Row],[SATIŞ]]=0,"Açık",(E7-D7)*C7-3)</f>
        <v>Açık</v>
      </c>
      <c r="G7" s="15">
        <f>IF(Tablo13426272829[[#This Row],[ALIŞ]]&gt;0,Tablo13426272829[[#This Row],[ADET]]*Tablo13426272829[[#This Row],[ALIŞ]]+1.5,0)</f>
        <v>0</v>
      </c>
      <c r="H7" s="15">
        <f>IF(Tablo13426272829[[#This Row],[SATIŞ]]&gt;0,(Tablo13426272829[[#This Row],[ADET]]*Tablo13426272829[[#This Row],[SATIŞ]]-1.5),0)</f>
        <v>0</v>
      </c>
    </row>
    <row r="8" spans="2:18" ht="21" customHeight="1" x14ac:dyDescent="0.3">
      <c r="B8" s="13"/>
      <c r="F8" s="17" t="str">
        <f>IF(Tablo13426272829[[#This Row],[SATIŞ]]=0,"Açık",(E8-D8)*C8-3)</f>
        <v>Açık</v>
      </c>
      <c r="G8" s="15">
        <f>IF(Tablo13426272829[[#This Row],[ALIŞ]]&gt;0,Tablo13426272829[[#This Row],[ADET]]*Tablo13426272829[[#This Row],[ALIŞ]]+1.5,0)</f>
        <v>0</v>
      </c>
      <c r="H8" s="15">
        <f>IF(Tablo13426272829[[#This Row],[SATIŞ]]&gt;0,(Tablo13426272829[[#This Row],[ADET]]*Tablo13426272829[[#This Row],[SATIŞ]]-1.5),0)</f>
        <v>0</v>
      </c>
    </row>
    <row r="9" spans="2:18" ht="21" customHeight="1" x14ac:dyDescent="0.3">
      <c r="B9" s="13"/>
      <c r="F9" s="17" t="str">
        <f>IF(Tablo13426272829[[#This Row],[SATIŞ]]=0,"Açık",(E9-D9)*C9-3)</f>
        <v>Açık</v>
      </c>
      <c r="G9" s="15">
        <f>IF(Tablo13426272829[[#This Row],[ALIŞ]]&gt;0,Tablo13426272829[[#This Row],[ADET]]*Tablo13426272829[[#This Row],[ALIŞ]]+1.5,0)</f>
        <v>0</v>
      </c>
      <c r="H9" s="15">
        <f>IF(Tablo13426272829[[#This Row],[SATIŞ]]&gt;0,(Tablo13426272829[[#This Row],[ADET]]*Tablo13426272829[[#This Row],[SATIŞ]]-1.5),0)</f>
        <v>0</v>
      </c>
    </row>
    <row r="10" spans="2:18" ht="21" customHeight="1" x14ac:dyDescent="0.3">
      <c r="B10" s="13"/>
      <c r="F10" s="17" t="str">
        <f>IF(Tablo13426272829[[#This Row],[SATIŞ]]=0,"Açık",(E10-D10)*C10-3)</f>
        <v>Açık</v>
      </c>
      <c r="G10" s="15">
        <f>IF(Tablo13426272829[[#This Row],[ALIŞ]]&gt;0,Tablo13426272829[[#This Row],[ADET]]*Tablo13426272829[[#This Row],[ALIŞ]]+1.5,0)</f>
        <v>0</v>
      </c>
      <c r="H10" s="15">
        <f>IF(Tablo13426272829[[#This Row],[SATIŞ]]&gt;0,(Tablo13426272829[[#This Row],[ADET]]*Tablo13426272829[[#This Row],[SATIŞ]]-1.5),0)</f>
        <v>0</v>
      </c>
    </row>
    <row r="11" spans="2:18" ht="21" customHeight="1" x14ac:dyDescent="0.3">
      <c r="B11" s="13"/>
      <c r="F11" s="17" t="str">
        <f>IF(Tablo13426272829[[#This Row],[SATIŞ]]=0,"Açık",(E11-D11)*C11-3)</f>
        <v>Açık</v>
      </c>
      <c r="G11" s="15">
        <f>IF(Tablo13426272829[[#This Row],[ALIŞ]]&gt;0,Tablo13426272829[[#This Row],[ADET]]*Tablo13426272829[[#This Row],[ALIŞ]]+1.5,0)</f>
        <v>0</v>
      </c>
      <c r="H11" s="15">
        <f>IF(Tablo13426272829[[#This Row],[SATIŞ]]&gt;0,(Tablo13426272829[[#This Row],[ADET]]*Tablo13426272829[[#This Row],[SATIŞ]]-1.5),0)</f>
        <v>0</v>
      </c>
      <c r="J11">
        <f>+Tablo13426272829[[#This Row],[ALIŞ]]*1.02</f>
        <v>0</v>
      </c>
    </row>
    <row r="12" spans="2:18" ht="21" customHeight="1" x14ac:dyDescent="0.3">
      <c r="B12" s="13"/>
      <c r="F12" s="17" t="str">
        <f>IF(Tablo13426272829[[#This Row],[SATIŞ]]=0,"Açık",(E12-D12)*C12-3)</f>
        <v>Açık</v>
      </c>
      <c r="G12" s="15">
        <f>IF(Tablo13426272829[[#This Row],[ALIŞ]]&gt;0,Tablo13426272829[[#This Row],[ADET]]*Tablo13426272829[[#This Row],[ALIŞ]]+1.5,0)</f>
        <v>0</v>
      </c>
      <c r="H12" s="15">
        <f>IF(Tablo13426272829[[#This Row],[SATIŞ]]&gt;0,(Tablo13426272829[[#This Row],[ADET]]*Tablo13426272829[[#This Row],[SATIŞ]]-1.5),0)</f>
        <v>0</v>
      </c>
    </row>
    <row r="13" spans="2:18" ht="21" customHeight="1" x14ac:dyDescent="0.3">
      <c r="B13" s="13"/>
      <c r="F13" s="17" t="str">
        <f>IF(Tablo13426272829[[#This Row],[SATIŞ]]=0,"Açık",(E13-D13)*C13-3)</f>
        <v>Açık</v>
      </c>
      <c r="G13" s="15">
        <f>IF(Tablo13426272829[[#This Row],[ALIŞ]]&gt;0,Tablo13426272829[[#This Row],[ADET]]*Tablo13426272829[[#This Row],[ALIŞ]]+1.5,0)</f>
        <v>0</v>
      </c>
      <c r="H13" s="15">
        <f>IF(Tablo13426272829[[#This Row],[SATIŞ]]&gt;0,(Tablo13426272829[[#This Row],[ADET]]*Tablo13426272829[[#This Row],[SATIŞ]]-1.5),0)</f>
        <v>0</v>
      </c>
    </row>
    <row r="14" spans="2:18" ht="21" customHeight="1" x14ac:dyDescent="0.3">
      <c r="B14" s="13"/>
      <c r="F14" s="17" t="str">
        <f>IF(Tablo13426272829[[#This Row],[SATIŞ]]=0,"Açık",(E14-D14)*C14-3)</f>
        <v>Açık</v>
      </c>
      <c r="G14" s="15">
        <f>IF(Tablo13426272829[[#This Row],[ALIŞ]]&gt;0,Tablo13426272829[[#This Row],[ADET]]*Tablo13426272829[[#This Row],[ALIŞ]]+1.5,0)</f>
        <v>0</v>
      </c>
      <c r="H14" s="15">
        <f>IF(Tablo13426272829[[#This Row],[SATIŞ]]&gt;0,(Tablo13426272829[[#This Row],[ADET]]*Tablo13426272829[[#This Row],[SATIŞ]]-1.5),0)</f>
        <v>0</v>
      </c>
    </row>
    <row r="15" spans="2:18" ht="21" customHeight="1" x14ac:dyDescent="0.3">
      <c r="B15" s="13"/>
      <c r="F15" s="17" t="str">
        <f>IF(Tablo13426272829[[#This Row],[SATIŞ]]=0,"Açık",(E15-D15)*C15-3)</f>
        <v>Açık</v>
      </c>
      <c r="G15" s="15">
        <f>IF(Tablo13426272829[[#This Row],[ALIŞ]]&gt;0,Tablo13426272829[[#This Row],[ADET]]*Tablo13426272829[[#This Row],[ALIŞ]]+1.5,0)</f>
        <v>0</v>
      </c>
      <c r="H15" s="15">
        <f>IF(Tablo13426272829[[#This Row],[SATIŞ]]&gt;0,(Tablo13426272829[[#This Row],[ADET]]*Tablo13426272829[[#This Row],[SATIŞ]]-1.5),0)</f>
        <v>0</v>
      </c>
    </row>
    <row r="16" spans="2:18" ht="21" customHeight="1" x14ac:dyDescent="0.3">
      <c r="B16" s="13"/>
      <c r="F16" s="17" t="str">
        <f>IF(Tablo13426272829[[#This Row],[SATIŞ]]=0,"Açık",(E16-D16)*C16-3)</f>
        <v>Açık</v>
      </c>
      <c r="G16" s="15">
        <f>IF(Tablo13426272829[[#This Row],[ALIŞ]]&gt;0,Tablo13426272829[[#This Row],[ADET]]*Tablo13426272829[[#This Row],[ALIŞ]]+1.5,0)</f>
        <v>0</v>
      </c>
      <c r="H16" s="15">
        <f>IF(Tablo13426272829[[#This Row],[SATIŞ]]&gt;0,(Tablo13426272829[[#This Row],[ADET]]*Tablo13426272829[[#This Row],[SATIŞ]]-1.5),0)</f>
        <v>0</v>
      </c>
    </row>
    <row r="17" spans="2:8" ht="21" customHeight="1" x14ac:dyDescent="0.3">
      <c r="B17" s="13"/>
      <c r="F17" s="17" t="str">
        <f>IF(Tablo13426272829[[#This Row],[SATIŞ]]=0,"Açık",(E17-D17)*C17-3)</f>
        <v>Açık</v>
      </c>
      <c r="G17" s="15">
        <f>IF(Tablo13426272829[[#This Row],[ALIŞ]]&gt;0,Tablo13426272829[[#This Row],[ADET]]*Tablo13426272829[[#This Row],[ALIŞ]]+1.5,0)</f>
        <v>0</v>
      </c>
      <c r="H17" s="15">
        <f>IF(Tablo13426272829[[#This Row],[SATIŞ]]&gt;0,(Tablo13426272829[[#This Row],[ADET]]*Tablo13426272829[[#This Row],[SATIŞ]]-1.5),0)</f>
        <v>0</v>
      </c>
    </row>
    <row r="18" spans="2:8" ht="21" customHeight="1" x14ac:dyDescent="0.3">
      <c r="B18" s="13"/>
      <c r="F18" s="17" t="str">
        <f>IF(Tablo13426272829[[#This Row],[SATIŞ]]=0,"Açık",(E18-D18)*C18-3)</f>
        <v>Açık</v>
      </c>
      <c r="G18" s="15">
        <f>IF(Tablo13426272829[[#This Row],[ALIŞ]]&gt;0,Tablo13426272829[[#This Row],[ADET]]*Tablo13426272829[[#This Row],[ALIŞ]]+1.5,0)</f>
        <v>0</v>
      </c>
      <c r="H18" s="15">
        <f>IF(Tablo13426272829[[#This Row],[SATIŞ]]&gt;0,(Tablo13426272829[[#This Row],[ADET]]*Tablo13426272829[[#This Row],[SATIŞ]]-1.5),0)</f>
        <v>0</v>
      </c>
    </row>
    <row r="19" spans="2:8" ht="21" customHeight="1" x14ac:dyDescent="0.3">
      <c r="B19" s="13"/>
      <c r="F19" s="17" t="str">
        <f>IF(Tablo13426272829[[#This Row],[SATIŞ]]=0,"Açık",(E19-D19)*C19-3)</f>
        <v>Açık</v>
      </c>
      <c r="G19" s="15">
        <f>IF(Tablo13426272829[[#This Row],[ALIŞ]]&gt;0,Tablo13426272829[[#This Row],[ADET]]*Tablo13426272829[[#This Row],[ALIŞ]]+1.5,0)</f>
        <v>0</v>
      </c>
      <c r="H19" s="15">
        <f>IF(Tablo13426272829[[#This Row],[SATIŞ]]&gt;0,(Tablo13426272829[[#This Row],[ADET]]*Tablo13426272829[[#This Row],[SATIŞ]]-1.5),0)</f>
        <v>0</v>
      </c>
    </row>
    <row r="20" spans="2:8" ht="21" customHeight="1" x14ac:dyDescent="0.3">
      <c r="B20" s="13"/>
      <c r="F20" s="17" t="str">
        <f>IF(Tablo13426272829[[#This Row],[SATIŞ]]=0,"Açık",(E20-D20)*C20-3)</f>
        <v>Açık</v>
      </c>
      <c r="G20" s="15">
        <f>IF(Tablo13426272829[[#This Row],[ALIŞ]]&gt;0,Tablo13426272829[[#This Row],[ADET]]*Tablo13426272829[[#This Row],[ALIŞ]]+1.5,0)</f>
        <v>0</v>
      </c>
      <c r="H20" s="15">
        <f>IF(Tablo13426272829[[#This Row],[SATIŞ]]&gt;0,(Tablo13426272829[[#This Row],[ADET]]*Tablo13426272829[[#This Row],[SATIŞ]]-1.5),0)</f>
        <v>0</v>
      </c>
    </row>
    <row r="21" spans="2:8" ht="21" customHeight="1" x14ac:dyDescent="0.3">
      <c r="B21" s="13"/>
      <c r="F21" s="17" t="str">
        <f>IF(Tablo13426272829[[#This Row],[SATIŞ]]=0,"Açık",(E21-D21)*C21-3)</f>
        <v>Açık</v>
      </c>
      <c r="G21" s="15">
        <f>IF(Tablo13426272829[[#This Row],[ALIŞ]]&gt;0,Tablo13426272829[[#This Row],[ADET]]*Tablo13426272829[[#This Row],[ALIŞ]]+1.5,0)</f>
        <v>0</v>
      </c>
      <c r="H21" s="15">
        <f>IF(Tablo13426272829[[#This Row],[SATIŞ]]&gt;0,(Tablo13426272829[[#This Row],[ADET]]*Tablo13426272829[[#This Row],[SATIŞ]]-1.5),0)</f>
        <v>0</v>
      </c>
    </row>
    <row r="22" spans="2:8" ht="21" customHeight="1" x14ac:dyDescent="0.3">
      <c r="B22" s="13"/>
      <c r="F22" s="17" t="str">
        <f>IF(Tablo13426272829[[#This Row],[SATIŞ]]=0,"Açık",(E22-D22)*C22-3)</f>
        <v>Açık</v>
      </c>
      <c r="G22" s="15">
        <f>IF(Tablo13426272829[[#This Row],[ALIŞ]]&gt;0,Tablo13426272829[[#This Row],[ADET]]*Tablo13426272829[[#This Row],[ALIŞ]]+1.5,0)</f>
        <v>0</v>
      </c>
      <c r="H22" s="15">
        <f>IF(Tablo13426272829[[#This Row],[SATIŞ]]&gt;0,(Tablo13426272829[[#This Row],[ADET]]*Tablo13426272829[[#This Row],[SATIŞ]]-1.5),0)</f>
        <v>0</v>
      </c>
    </row>
    <row r="23" spans="2:8" ht="21" customHeight="1" x14ac:dyDescent="0.3">
      <c r="B23" s="13"/>
      <c r="F23" s="17" t="str">
        <f>IF(Tablo13426272829[[#This Row],[SATIŞ]]=0,"Açık",(E23-D23)*C23-3)</f>
        <v>Açık</v>
      </c>
      <c r="G23" s="15">
        <f>IF(Tablo13426272829[[#This Row],[ALIŞ]]&gt;0,Tablo13426272829[[#This Row],[ADET]]*Tablo13426272829[[#This Row],[ALIŞ]]+1.5,0)</f>
        <v>0</v>
      </c>
      <c r="H23" s="15">
        <f>IF(Tablo13426272829[[#This Row],[SATIŞ]]&gt;0,(Tablo13426272829[[#This Row],[ADET]]*Tablo13426272829[[#This Row],[SATIŞ]]-1.5),0)</f>
        <v>0</v>
      </c>
    </row>
    <row r="24" spans="2:8" ht="21" customHeight="1" x14ac:dyDescent="0.3">
      <c r="B24" s="13"/>
      <c r="F24" s="17" t="str">
        <f>IF(Tablo13426272829[[#This Row],[SATIŞ]]=0,"Açık",(E24-D24)*C24-3)</f>
        <v>Açık</v>
      </c>
      <c r="G24" s="15">
        <f>IF(Tablo13426272829[[#This Row],[ALIŞ]]&gt;0,Tablo13426272829[[#This Row],[ADET]]*Tablo13426272829[[#This Row],[ALIŞ]]+1.5,0)</f>
        <v>0</v>
      </c>
      <c r="H24" s="15">
        <f>IF(Tablo13426272829[[#This Row],[SATIŞ]]&gt;0,(Tablo13426272829[[#This Row],[ADET]]*Tablo13426272829[[#This Row],[SATIŞ]]-1.5),0)</f>
        <v>0</v>
      </c>
    </row>
    <row r="25" spans="2:8" ht="21" customHeight="1" x14ac:dyDescent="0.3">
      <c r="B25" s="13"/>
      <c r="F25" s="17" t="str">
        <f>IF(Tablo13426272829[[#This Row],[SATIŞ]]=0,"Açık",(E25-D25)*C25-3)</f>
        <v>Açık</v>
      </c>
      <c r="G25" s="15">
        <f>IF(Tablo13426272829[[#This Row],[ALIŞ]]&gt;0,Tablo13426272829[[#This Row],[ADET]]*Tablo13426272829[[#This Row],[ALIŞ]]+1.5,0)</f>
        <v>0</v>
      </c>
      <c r="H25" s="15">
        <f>IF(Tablo13426272829[[#This Row],[SATIŞ]]&gt;0,(Tablo13426272829[[#This Row],[ADET]]*Tablo13426272829[[#This Row],[SATIŞ]]-1.5),0)</f>
        <v>0</v>
      </c>
    </row>
    <row r="26" spans="2:8" ht="21" customHeight="1" x14ac:dyDescent="0.3">
      <c r="B26" s="13"/>
      <c r="F26" s="17" t="str">
        <f>IF(Tablo13426272829[[#This Row],[SATIŞ]]=0,"Açık",(E26-D26)*C26-3)</f>
        <v>Açık</v>
      </c>
      <c r="G26" s="15">
        <f>IF(Tablo13426272829[[#This Row],[ALIŞ]]&gt;0,Tablo13426272829[[#This Row],[ADET]]*Tablo13426272829[[#This Row],[ALIŞ]]+1.5,0)</f>
        <v>0</v>
      </c>
      <c r="H26" s="15">
        <f>IF(Tablo13426272829[[#This Row],[SATIŞ]]&gt;0,(Tablo13426272829[[#This Row],[ADET]]*Tablo13426272829[[#This Row],[SATIŞ]]-1.5),0)</f>
        <v>0</v>
      </c>
    </row>
    <row r="27" spans="2:8" ht="21" customHeight="1" x14ac:dyDescent="0.3">
      <c r="B27" s="13"/>
      <c r="F27" s="17" t="str">
        <f>IF(Tablo13426272829[[#This Row],[SATIŞ]]=0,"Açık",(E27-D27)*C27-3)</f>
        <v>Açık</v>
      </c>
      <c r="G27" s="15">
        <f>IF(Tablo13426272829[[#This Row],[ALIŞ]]&gt;0,Tablo13426272829[[#This Row],[ADET]]*Tablo13426272829[[#This Row],[ALIŞ]]+1.5,0)</f>
        <v>0</v>
      </c>
      <c r="H27" s="15">
        <f>IF(Tablo13426272829[[#This Row],[SATIŞ]]&gt;0,(Tablo13426272829[[#This Row],[ADET]]*Tablo13426272829[[#This Row],[SATIŞ]]-1.5),0)</f>
        <v>0</v>
      </c>
    </row>
  </sheetData>
  <conditionalFormatting sqref="B4:E4 B5:F27">
    <cfRule type="expression" dxfId="11" priority="4">
      <formula>$F4&lt;0</formula>
    </cfRule>
    <cfRule type="expression" dxfId="10" priority="5">
      <formula>$F4="Açık"</formula>
    </cfRule>
    <cfRule type="expression" dxfId="9" priority="6">
      <formula>$F4&gt;0</formula>
    </cfRule>
  </conditionalFormatting>
  <conditionalFormatting sqref="F4">
    <cfRule type="expression" dxfId="8" priority="1">
      <formula>$F4&lt;0</formula>
    </cfRule>
    <cfRule type="expression" dxfId="7" priority="2">
      <formula>$F4="Açık"</formula>
    </cfRule>
    <cfRule type="expression" dxfId="6" priority="3">
      <formula>$F4&gt;0</formula>
    </cfRule>
  </conditionalFormatting>
  <hyperlinks>
    <hyperlink ref="B1" location="İcmal!A1" display="ANA SAYFA" xr:uid="{95481807-3592-4158-A2C1-8FDD1E643B70}"/>
  </hyperlink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EB55-6727-43AD-B55B-382116626D45}">
  <dimension ref="B1:R27"/>
  <sheetViews>
    <sheetView workbookViewId="0">
      <selection activeCell="D7" sqref="D7"/>
    </sheetView>
  </sheetViews>
  <sheetFormatPr defaultRowHeight="14.4" x14ac:dyDescent="0.3"/>
  <cols>
    <col min="2" max="2" width="20.6640625" style="11" customWidth="1"/>
    <col min="3" max="3" width="11.33203125" style="8" customWidth="1"/>
    <col min="4" max="5" width="12.88671875" style="16" customWidth="1"/>
    <col min="6" max="6" width="12.88671875" style="17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" t="s">
        <v>0</v>
      </c>
      <c r="C1" s="2">
        <f>SUMIF(Tablo134262728293031[KAR],"Açık",Tablo134262728293031[ADET])</f>
        <v>3</v>
      </c>
      <c r="D1" s="16">
        <f>+İcmal!E39</f>
        <v>336.56</v>
      </c>
      <c r="E1" s="16">
        <f>C1*D1</f>
        <v>1009.6800000000001</v>
      </c>
      <c r="F1" s="16">
        <f>IFERROR(((SUM(Tablo134262728293031[ALIŞ TUTAR])-SUM(Tablo134262728293031[SATIŞ TUTAR]))/C1),"")</f>
        <v>328.35666666666663</v>
      </c>
      <c r="G1" s="3">
        <f>IF(M3=0,L3,C1*(D1-F1))</f>
        <v>24.610000000000127</v>
      </c>
      <c r="J1" s="4">
        <v>0.02</v>
      </c>
      <c r="L1" s="5">
        <f>M1*(1-$J$1)</f>
        <v>321.78953333333328</v>
      </c>
      <c r="M1" s="6">
        <f>F1</f>
        <v>328.35666666666663</v>
      </c>
      <c r="N1" s="5">
        <f>M1*(1+$J$1)</f>
        <v>334.92379999999997</v>
      </c>
      <c r="P1" s="5">
        <f>Q1*(1-$J$1)</f>
        <v>329.8288</v>
      </c>
      <c r="Q1" s="6">
        <f>+D1</f>
        <v>336.56</v>
      </c>
      <c r="R1" s="5">
        <f>Q1*(1+$J$1)</f>
        <v>343.2912</v>
      </c>
    </row>
    <row r="2" spans="2:18" ht="21" customHeight="1" x14ac:dyDescent="0.3">
      <c r="B2" s="7"/>
    </row>
    <row r="3" spans="2:18" ht="21" customHeight="1" x14ac:dyDescent="0.3">
      <c r="B3" s="11" t="s">
        <v>1</v>
      </c>
      <c r="C3" s="8" t="s">
        <v>2</v>
      </c>
      <c r="D3" s="16" t="s">
        <v>3</v>
      </c>
      <c r="E3" s="16" t="s">
        <v>4</v>
      </c>
      <c r="F3" s="17" t="s">
        <v>5</v>
      </c>
      <c r="G3" s="9" t="s">
        <v>6</v>
      </c>
      <c r="H3" s="9" t="s">
        <v>7</v>
      </c>
      <c r="L3" s="16">
        <f>SUM(Tablo134262728293031[KAR])</f>
        <v>27.620000000000005</v>
      </c>
      <c r="M3" s="12">
        <f>C1</f>
        <v>3</v>
      </c>
    </row>
    <row r="4" spans="2:18" ht="21" customHeight="1" x14ac:dyDescent="0.3">
      <c r="B4" s="13">
        <v>45328</v>
      </c>
      <c r="C4" s="8">
        <v>2</v>
      </c>
      <c r="D4" s="16">
        <v>329.69</v>
      </c>
      <c r="E4" s="16">
        <v>345</v>
      </c>
      <c r="F4" s="17">
        <f>IF(Tablo134262728293031[[#This Row],[SATIŞ]]=0,"Açık",(E4-D4)*C4-3)</f>
        <v>27.620000000000005</v>
      </c>
      <c r="G4" s="15">
        <f>IF(Tablo134262728293031[[#This Row],[ALIŞ]]&gt;0,Tablo134262728293031[[#This Row],[ADET]]*Tablo134262728293031[[#This Row],[ALIŞ]]+1.5,0)</f>
        <v>660.88</v>
      </c>
      <c r="H4" s="15">
        <f>IF(Tablo134262728293031[[#This Row],[SATIŞ]]&gt;0,(Tablo134262728293031[[#This Row],[ADET]]*Tablo134262728293031[[#This Row],[SATIŞ]]-1.5),0)</f>
        <v>688.5</v>
      </c>
      <c r="L4" s="5"/>
      <c r="M4" s="5"/>
      <c r="N4" s="5"/>
    </row>
    <row r="5" spans="2:18" ht="21" customHeight="1" x14ac:dyDescent="0.3">
      <c r="B5" s="13">
        <v>45328</v>
      </c>
      <c r="C5" s="8">
        <v>1</v>
      </c>
      <c r="D5" s="16">
        <v>329.69</v>
      </c>
      <c r="F5" s="17" t="str">
        <f>IF(Tablo134262728293031[[#This Row],[SATIŞ]]=0,"Açık",(E5-D5)*C5-3)</f>
        <v>Açık</v>
      </c>
      <c r="G5" s="15">
        <f>IF(Tablo134262728293031[[#This Row],[ALIŞ]]&gt;0,Tablo134262728293031[[#This Row],[ADET]]*Tablo134262728293031[[#This Row],[ALIŞ]]+1.5,0)</f>
        <v>331.19</v>
      </c>
      <c r="H5" s="15">
        <f>IF(Tablo134262728293031[[#This Row],[SATIŞ]]&gt;0,(Tablo134262728293031[[#This Row],[ADET]]*Tablo134262728293031[[#This Row],[SATIŞ]]-1.5),0)</f>
        <v>0</v>
      </c>
    </row>
    <row r="6" spans="2:18" ht="21" customHeight="1" x14ac:dyDescent="0.3">
      <c r="B6" s="13">
        <v>45359</v>
      </c>
      <c r="C6" s="8">
        <v>2</v>
      </c>
      <c r="D6" s="16">
        <v>340</v>
      </c>
      <c r="F6" s="17" t="str">
        <f>IF(Tablo134262728293031[[#This Row],[SATIŞ]]=0,"Açık",(E6-D6)*C6-3)</f>
        <v>Açık</v>
      </c>
      <c r="G6" s="15">
        <f>IF(Tablo134262728293031[[#This Row],[ALIŞ]]&gt;0,Tablo134262728293031[[#This Row],[ADET]]*Tablo134262728293031[[#This Row],[ALIŞ]]+1.5,0)</f>
        <v>681.5</v>
      </c>
      <c r="H6" s="15">
        <f>IF(Tablo134262728293031[[#This Row],[SATIŞ]]&gt;0,(Tablo134262728293031[[#This Row],[ADET]]*Tablo134262728293031[[#This Row],[SATIŞ]]-1.5),0)</f>
        <v>0</v>
      </c>
    </row>
    <row r="7" spans="2:18" ht="21" customHeight="1" x14ac:dyDescent="0.3">
      <c r="B7" s="13"/>
      <c r="F7" s="17" t="str">
        <f>IF(Tablo134262728293031[[#This Row],[SATIŞ]]=0,"Açık",(E7-D7)*C7-3)</f>
        <v>Açık</v>
      </c>
      <c r="G7" s="15">
        <f>IF(Tablo134262728293031[[#This Row],[ALIŞ]]&gt;0,Tablo134262728293031[[#This Row],[ADET]]*Tablo134262728293031[[#This Row],[ALIŞ]]+1.5,0)</f>
        <v>0</v>
      </c>
      <c r="H7" s="15">
        <f>IF(Tablo134262728293031[[#This Row],[SATIŞ]]&gt;0,(Tablo134262728293031[[#This Row],[ADET]]*Tablo134262728293031[[#This Row],[SATIŞ]]-1.5),0)</f>
        <v>0</v>
      </c>
    </row>
    <row r="8" spans="2:18" ht="21" customHeight="1" x14ac:dyDescent="0.3">
      <c r="B8" s="13"/>
      <c r="F8" s="17" t="str">
        <f>IF(Tablo134262728293031[[#This Row],[SATIŞ]]=0,"Açık",(E8-D8)*C8-3)</f>
        <v>Açık</v>
      </c>
      <c r="G8" s="15">
        <f>IF(Tablo134262728293031[[#This Row],[ALIŞ]]&gt;0,Tablo134262728293031[[#This Row],[ADET]]*Tablo134262728293031[[#This Row],[ALIŞ]]+1.5,0)</f>
        <v>0</v>
      </c>
      <c r="H8" s="15">
        <f>IF(Tablo134262728293031[[#This Row],[SATIŞ]]&gt;0,(Tablo134262728293031[[#This Row],[ADET]]*Tablo134262728293031[[#This Row],[SATIŞ]]-1.5),0)</f>
        <v>0</v>
      </c>
    </row>
    <row r="9" spans="2:18" ht="21" customHeight="1" x14ac:dyDescent="0.3">
      <c r="B9" s="13"/>
      <c r="F9" s="17" t="str">
        <f>IF(Tablo134262728293031[[#This Row],[SATIŞ]]=0,"Açık",(E9-D9)*C9-3)</f>
        <v>Açık</v>
      </c>
      <c r="G9" s="15">
        <f>IF(Tablo134262728293031[[#This Row],[ALIŞ]]&gt;0,Tablo134262728293031[[#This Row],[ADET]]*Tablo134262728293031[[#This Row],[ALIŞ]]+1.5,0)</f>
        <v>0</v>
      </c>
      <c r="H9" s="15">
        <f>IF(Tablo134262728293031[[#This Row],[SATIŞ]]&gt;0,(Tablo134262728293031[[#This Row],[ADET]]*Tablo134262728293031[[#This Row],[SATIŞ]]-1.5),0)</f>
        <v>0</v>
      </c>
    </row>
    <row r="10" spans="2:18" ht="21" customHeight="1" x14ac:dyDescent="0.3">
      <c r="B10" s="13"/>
      <c r="F10" s="17" t="str">
        <f>IF(Tablo134262728293031[[#This Row],[SATIŞ]]=0,"Açık",(E10-D10)*C10-3)</f>
        <v>Açık</v>
      </c>
      <c r="G10" s="15">
        <f>IF(Tablo134262728293031[[#This Row],[ALIŞ]]&gt;0,Tablo134262728293031[[#This Row],[ADET]]*Tablo134262728293031[[#This Row],[ALIŞ]]+1.5,0)</f>
        <v>0</v>
      </c>
      <c r="H10" s="15">
        <f>IF(Tablo134262728293031[[#This Row],[SATIŞ]]&gt;0,(Tablo134262728293031[[#This Row],[ADET]]*Tablo134262728293031[[#This Row],[SATIŞ]]-1.5),0)</f>
        <v>0</v>
      </c>
    </row>
    <row r="11" spans="2:18" ht="21" customHeight="1" x14ac:dyDescent="0.3">
      <c r="B11" s="13"/>
      <c r="F11" s="17" t="str">
        <f>IF(Tablo134262728293031[[#This Row],[SATIŞ]]=0,"Açık",(E11-D11)*C11-3)</f>
        <v>Açık</v>
      </c>
      <c r="G11" s="15">
        <f>IF(Tablo134262728293031[[#This Row],[ALIŞ]]&gt;0,Tablo134262728293031[[#This Row],[ADET]]*Tablo134262728293031[[#This Row],[ALIŞ]]+1.5,0)</f>
        <v>0</v>
      </c>
      <c r="H11" s="15">
        <f>IF(Tablo134262728293031[[#This Row],[SATIŞ]]&gt;0,(Tablo134262728293031[[#This Row],[ADET]]*Tablo134262728293031[[#This Row],[SATIŞ]]-1.5),0)</f>
        <v>0</v>
      </c>
      <c r="J11">
        <f>+Tablo134262728293031[[#This Row],[ALIŞ]]*1.02</f>
        <v>0</v>
      </c>
    </row>
    <row r="12" spans="2:18" ht="21" customHeight="1" x14ac:dyDescent="0.3">
      <c r="B12" s="13"/>
      <c r="F12" s="17" t="str">
        <f>IF(Tablo134262728293031[[#This Row],[SATIŞ]]=0,"Açık",(E12-D12)*C12-3)</f>
        <v>Açık</v>
      </c>
      <c r="G12" s="15">
        <f>IF(Tablo134262728293031[[#This Row],[ALIŞ]]&gt;0,Tablo134262728293031[[#This Row],[ADET]]*Tablo134262728293031[[#This Row],[ALIŞ]]+1.5,0)</f>
        <v>0</v>
      </c>
      <c r="H12" s="15">
        <f>IF(Tablo134262728293031[[#This Row],[SATIŞ]]&gt;0,(Tablo134262728293031[[#This Row],[ADET]]*Tablo134262728293031[[#This Row],[SATIŞ]]-1.5),0)</f>
        <v>0</v>
      </c>
    </row>
    <row r="13" spans="2:18" ht="21" customHeight="1" x14ac:dyDescent="0.3">
      <c r="B13" s="13"/>
      <c r="F13" s="17" t="str">
        <f>IF(Tablo134262728293031[[#This Row],[SATIŞ]]=0,"Açık",(E13-D13)*C13-3)</f>
        <v>Açık</v>
      </c>
      <c r="G13" s="15">
        <f>IF(Tablo134262728293031[[#This Row],[ALIŞ]]&gt;0,Tablo134262728293031[[#This Row],[ADET]]*Tablo134262728293031[[#This Row],[ALIŞ]]+1.5,0)</f>
        <v>0</v>
      </c>
      <c r="H13" s="15">
        <f>IF(Tablo134262728293031[[#This Row],[SATIŞ]]&gt;0,(Tablo134262728293031[[#This Row],[ADET]]*Tablo134262728293031[[#This Row],[SATIŞ]]-1.5),0)</f>
        <v>0</v>
      </c>
    </row>
    <row r="14" spans="2:18" ht="21" customHeight="1" x14ac:dyDescent="0.3">
      <c r="B14" s="13"/>
      <c r="F14" s="17" t="str">
        <f>IF(Tablo134262728293031[[#This Row],[SATIŞ]]=0,"Açık",(E14-D14)*C14-3)</f>
        <v>Açık</v>
      </c>
      <c r="G14" s="15">
        <f>IF(Tablo134262728293031[[#This Row],[ALIŞ]]&gt;0,Tablo134262728293031[[#This Row],[ADET]]*Tablo134262728293031[[#This Row],[ALIŞ]]+1.5,0)</f>
        <v>0</v>
      </c>
      <c r="H14" s="15">
        <f>IF(Tablo134262728293031[[#This Row],[SATIŞ]]&gt;0,(Tablo134262728293031[[#This Row],[ADET]]*Tablo134262728293031[[#This Row],[SATIŞ]]-1.5),0)</f>
        <v>0</v>
      </c>
    </row>
    <row r="15" spans="2:18" ht="21" customHeight="1" x14ac:dyDescent="0.3">
      <c r="B15" s="13"/>
      <c r="F15" s="17" t="str">
        <f>IF(Tablo134262728293031[[#This Row],[SATIŞ]]=0,"Açık",(E15-D15)*C15-3)</f>
        <v>Açık</v>
      </c>
      <c r="G15" s="15">
        <f>IF(Tablo134262728293031[[#This Row],[ALIŞ]]&gt;0,Tablo134262728293031[[#This Row],[ADET]]*Tablo134262728293031[[#This Row],[ALIŞ]]+1.5,0)</f>
        <v>0</v>
      </c>
      <c r="H15" s="15">
        <f>IF(Tablo134262728293031[[#This Row],[SATIŞ]]&gt;0,(Tablo134262728293031[[#This Row],[ADET]]*Tablo134262728293031[[#This Row],[SATIŞ]]-1.5),0)</f>
        <v>0</v>
      </c>
    </row>
    <row r="16" spans="2:18" ht="21" customHeight="1" x14ac:dyDescent="0.3">
      <c r="B16" s="13"/>
      <c r="F16" s="17" t="str">
        <f>IF(Tablo134262728293031[[#This Row],[SATIŞ]]=0,"Açık",(E16-D16)*C16-3)</f>
        <v>Açık</v>
      </c>
      <c r="G16" s="15">
        <f>IF(Tablo134262728293031[[#This Row],[ALIŞ]]&gt;0,Tablo134262728293031[[#This Row],[ADET]]*Tablo134262728293031[[#This Row],[ALIŞ]]+1.5,0)</f>
        <v>0</v>
      </c>
      <c r="H16" s="15">
        <f>IF(Tablo134262728293031[[#This Row],[SATIŞ]]&gt;0,(Tablo134262728293031[[#This Row],[ADET]]*Tablo134262728293031[[#This Row],[SATIŞ]]-1.5),0)</f>
        <v>0</v>
      </c>
    </row>
    <row r="17" spans="2:8" ht="21" customHeight="1" x14ac:dyDescent="0.3">
      <c r="B17" s="13"/>
      <c r="F17" s="17" t="str">
        <f>IF(Tablo134262728293031[[#This Row],[SATIŞ]]=0,"Açık",(E17-D17)*C17-3)</f>
        <v>Açık</v>
      </c>
      <c r="G17" s="15">
        <f>IF(Tablo134262728293031[[#This Row],[ALIŞ]]&gt;0,Tablo134262728293031[[#This Row],[ADET]]*Tablo134262728293031[[#This Row],[ALIŞ]]+1.5,0)</f>
        <v>0</v>
      </c>
      <c r="H17" s="15">
        <f>IF(Tablo134262728293031[[#This Row],[SATIŞ]]&gt;0,(Tablo134262728293031[[#This Row],[ADET]]*Tablo134262728293031[[#This Row],[SATIŞ]]-1.5),0)</f>
        <v>0</v>
      </c>
    </row>
    <row r="18" spans="2:8" ht="21" customHeight="1" x14ac:dyDescent="0.3">
      <c r="B18" s="13"/>
      <c r="F18" s="17" t="str">
        <f>IF(Tablo134262728293031[[#This Row],[SATIŞ]]=0,"Açık",(E18-D18)*C18-3)</f>
        <v>Açık</v>
      </c>
      <c r="G18" s="15">
        <f>IF(Tablo134262728293031[[#This Row],[ALIŞ]]&gt;0,Tablo134262728293031[[#This Row],[ADET]]*Tablo134262728293031[[#This Row],[ALIŞ]]+1.5,0)</f>
        <v>0</v>
      </c>
      <c r="H18" s="15">
        <f>IF(Tablo134262728293031[[#This Row],[SATIŞ]]&gt;0,(Tablo134262728293031[[#This Row],[ADET]]*Tablo134262728293031[[#This Row],[SATIŞ]]-1.5),0)</f>
        <v>0</v>
      </c>
    </row>
    <row r="19" spans="2:8" ht="21" customHeight="1" x14ac:dyDescent="0.3">
      <c r="B19" s="13"/>
      <c r="F19" s="17" t="str">
        <f>IF(Tablo134262728293031[[#This Row],[SATIŞ]]=0,"Açık",(E19-D19)*C19-3)</f>
        <v>Açık</v>
      </c>
      <c r="G19" s="15">
        <f>IF(Tablo134262728293031[[#This Row],[ALIŞ]]&gt;0,Tablo134262728293031[[#This Row],[ADET]]*Tablo134262728293031[[#This Row],[ALIŞ]]+1.5,0)</f>
        <v>0</v>
      </c>
      <c r="H19" s="15">
        <f>IF(Tablo134262728293031[[#This Row],[SATIŞ]]&gt;0,(Tablo134262728293031[[#This Row],[ADET]]*Tablo134262728293031[[#This Row],[SATIŞ]]-1.5),0)</f>
        <v>0</v>
      </c>
    </row>
    <row r="20" spans="2:8" ht="21" customHeight="1" x14ac:dyDescent="0.3">
      <c r="B20" s="13"/>
      <c r="F20" s="17" t="str">
        <f>IF(Tablo134262728293031[[#This Row],[SATIŞ]]=0,"Açık",(E20-D20)*C20-3)</f>
        <v>Açık</v>
      </c>
      <c r="G20" s="15">
        <f>IF(Tablo134262728293031[[#This Row],[ALIŞ]]&gt;0,Tablo134262728293031[[#This Row],[ADET]]*Tablo134262728293031[[#This Row],[ALIŞ]]+1.5,0)</f>
        <v>0</v>
      </c>
      <c r="H20" s="15">
        <f>IF(Tablo134262728293031[[#This Row],[SATIŞ]]&gt;0,(Tablo134262728293031[[#This Row],[ADET]]*Tablo134262728293031[[#This Row],[SATIŞ]]-1.5),0)</f>
        <v>0</v>
      </c>
    </row>
    <row r="21" spans="2:8" ht="21" customHeight="1" x14ac:dyDescent="0.3">
      <c r="B21" s="13"/>
      <c r="F21" s="17" t="str">
        <f>IF(Tablo134262728293031[[#This Row],[SATIŞ]]=0,"Açık",(E21-D21)*C21-3)</f>
        <v>Açık</v>
      </c>
      <c r="G21" s="15">
        <f>IF(Tablo134262728293031[[#This Row],[ALIŞ]]&gt;0,Tablo134262728293031[[#This Row],[ADET]]*Tablo134262728293031[[#This Row],[ALIŞ]]+1.5,0)</f>
        <v>0</v>
      </c>
      <c r="H21" s="15">
        <f>IF(Tablo134262728293031[[#This Row],[SATIŞ]]&gt;0,(Tablo134262728293031[[#This Row],[ADET]]*Tablo134262728293031[[#This Row],[SATIŞ]]-1.5),0)</f>
        <v>0</v>
      </c>
    </row>
    <row r="22" spans="2:8" ht="21" customHeight="1" x14ac:dyDescent="0.3">
      <c r="B22" s="13"/>
      <c r="F22" s="17" t="str">
        <f>IF(Tablo134262728293031[[#This Row],[SATIŞ]]=0,"Açık",(E22-D22)*C22-3)</f>
        <v>Açık</v>
      </c>
      <c r="G22" s="15">
        <f>IF(Tablo134262728293031[[#This Row],[ALIŞ]]&gt;0,Tablo134262728293031[[#This Row],[ADET]]*Tablo134262728293031[[#This Row],[ALIŞ]]+1.5,0)</f>
        <v>0</v>
      </c>
      <c r="H22" s="15">
        <f>IF(Tablo134262728293031[[#This Row],[SATIŞ]]&gt;0,(Tablo134262728293031[[#This Row],[ADET]]*Tablo134262728293031[[#This Row],[SATIŞ]]-1.5),0)</f>
        <v>0</v>
      </c>
    </row>
    <row r="23" spans="2:8" ht="21" customHeight="1" x14ac:dyDescent="0.3">
      <c r="B23" s="13"/>
      <c r="F23" s="17" t="str">
        <f>IF(Tablo134262728293031[[#This Row],[SATIŞ]]=0,"Açık",(E23-D23)*C23-3)</f>
        <v>Açık</v>
      </c>
      <c r="G23" s="15">
        <f>IF(Tablo134262728293031[[#This Row],[ALIŞ]]&gt;0,Tablo134262728293031[[#This Row],[ADET]]*Tablo134262728293031[[#This Row],[ALIŞ]]+1.5,0)</f>
        <v>0</v>
      </c>
      <c r="H23" s="15">
        <f>IF(Tablo134262728293031[[#This Row],[SATIŞ]]&gt;0,(Tablo134262728293031[[#This Row],[ADET]]*Tablo134262728293031[[#This Row],[SATIŞ]]-1.5),0)</f>
        <v>0</v>
      </c>
    </row>
    <row r="24" spans="2:8" ht="21" customHeight="1" x14ac:dyDescent="0.3">
      <c r="B24" s="13"/>
      <c r="F24" s="17" t="str">
        <f>IF(Tablo134262728293031[[#This Row],[SATIŞ]]=0,"Açık",(E24-D24)*C24-3)</f>
        <v>Açık</v>
      </c>
      <c r="G24" s="15">
        <f>IF(Tablo134262728293031[[#This Row],[ALIŞ]]&gt;0,Tablo134262728293031[[#This Row],[ADET]]*Tablo134262728293031[[#This Row],[ALIŞ]]+1.5,0)</f>
        <v>0</v>
      </c>
      <c r="H24" s="15">
        <f>IF(Tablo134262728293031[[#This Row],[SATIŞ]]&gt;0,(Tablo134262728293031[[#This Row],[ADET]]*Tablo134262728293031[[#This Row],[SATIŞ]]-1.5),0)</f>
        <v>0</v>
      </c>
    </row>
    <row r="25" spans="2:8" ht="21" customHeight="1" x14ac:dyDescent="0.3">
      <c r="B25" s="13"/>
      <c r="F25" s="17" t="str">
        <f>IF(Tablo134262728293031[[#This Row],[SATIŞ]]=0,"Açık",(E25-D25)*C25-3)</f>
        <v>Açık</v>
      </c>
      <c r="G25" s="15">
        <f>IF(Tablo134262728293031[[#This Row],[ALIŞ]]&gt;0,Tablo134262728293031[[#This Row],[ADET]]*Tablo134262728293031[[#This Row],[ALIŞ]]+1.5,0)</f>
        <v>0</v>
      </c>
      <c r="H25" s="15">
        <f>IF(Tablo134262728293031[[#This Row],[SATIŞ]]&gt;0,(Tablo134262728293031[[#This Row],[ADET]]*Tablo134262728293031[[#This Row],[SATIŞ]]-1.5),0)</f>
        <v>0</v>
      </c>
    </row>
    <row r="26" spans="2:8" ht="21" customHeight="1" x14ac:dyDescent="0.3">
      <c r="B26" s="13"/>
      <c r="F26" s="17" t="str">
        <f>IF(Tablo134262728293031[[#This Row],[SATIŞ]]=0,"Açık",(E26-D26)*C26-3)</f>
        <v>Açık</v>
      </c>
      <c r="G26" s="15">
        <f>IF(Tablo134262728293031[[#This Row],[ALIŞ]]&gt;0,Tablo134262728293031[[#This Row],[ADET]]*Tablo134262728293031[[#This Row],[ALIŞ]]+1.5,0)</f>
        <v>0</v>
      </c>
      <c r="H26" s="15">
        <f>IF(Tablo134262728293031[[#This Row],[SATIŞ]]&gt;0,(Tablo134262728293031[[#This Row],[ADET]]*Tablo134262728293031[[#This Row],[SATIŞ]]-1.5),0)</f>
        <v>0</v>
      </c>
    </row>
    <row r="27" spans="2:8" ht="21" customHeight="1" x14ac:dyDescent="0.3">
      <c r="B27" s="13"/>
      <c r="F27" s="17" t="str">
        <f>IF(Tablo134262728293031[[#This Row],[SATIŞ]]=0,"Açık",(E27-D27)*C27-3)</f>
        <v>Açık</v>
      </c>
      <c r="G27" s="15">
        <f>IF(Tablo134262728293031[[#This Row],[ALIŞ]]&gt;0,Tablo134262728293031[[#This Row],[ADET]]*Tablo134262728293031[[#This Row],[ALIŞ]]+1.5,0)</f>
        <v>0</v>
      </c>
      <c r="H27" s="15">
        <f>IF(Tablo134262728293031[[#This Row],[SATIŞ]]&gt;0,(Tablo134262728293031[[#This Row],[ADET]]*Tablo134262728293031[[#This Row],[SATIŞ]]-1.5),0)</f>
        <v>0</v>
      </c>
    </row>
  </sheetData>
  <conditionalFormatting sqref="B4:E4 B5:F27">
    <cfRule type="expression" dxfId="5" priority="4">
      <formula>$F4&lt;0</formula>
    </cfRule>
    <cfRule type="expression" dxfId="4" priority="5">
      <formula>$F4="Açık"</formula>
    </cfRule>
    <cfRule type="expression" dxfId="3" priority="6">
      <formula>$F4&gt;0</formula>
    </cfRule>
  </conditionalFormatting>
  <conditionalFormatting sqref="F4">
    <cfRule type="expression" dxfId="2" priority="1">
      <formula>$F4&lt;0</formula>
    </cfRule>
    <cfRule type="expression" dxfId="1" priority="2">
      <formula>$F4="Açık"</formula>
    </cfRule>
    <cfRule type="expression" dxfId="0" priority="3">
      <formula>$F4&gt;0</formula>
    </cfRule>
  </conditionalFormatting>
  <hyperlinks>
    <hyperlink ref="B1" location="İcmal!A1" display="ANA SAYFA" xr:uid="{97D87E1C-FF21-4EE8-BA2B-2BA3AD1EA80A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38</vt:i4>
      </vt:variant>
    </vt:vector>
  </HeadingPairs>
  <TitlesOfParts>
    <vt:vector size="38" baseType="lpstr">
      <vt:lpstr>İcmal</vt:lpstr>
      <vt:lpstr>AAPL</vt:lpstr>
      <vt:lpstr>ADD</vt:lpstr>
      <vt:lpstr>AMD</vt:lpstr>
      <vt:lpstr>AMTX</vt:lpstr>
      <vt:lpstr>AMZN</vt:lpstr>
      <vt:lpstr>ASAP</vt:lpstr>
      <vt:lpstr>BBIO</vt:lpstr>
      <vt:lpstr>BKCH</vt:lpstr>
      <vt:lpstr>CAH</vt:lpstr>
      <vt:lpstr>CLM</vt:lpstr>
      <vt:lpstr>COIN</vt:lpstr>
      <vt:lpstr>FANG</vt:lpstr>
      <vt:lpstr>FNGS</vt:lpstr>
      <vt:lpstr>FORD</vt:lpstr>
      <vt:lpstr>GDRX</vt:lpstr>
      <vt:lpstr>GE</vt:lpstr>
      <vt:lpstr>GNLN</vt:lpstr>
      <vt:lpstr>GOOGL</vt:lpstr>
      <vt:lpstr>JEPI</vt:lpstr>
      <vt:lpstr>HEPS</vt:lpstr>
      <vt:lpstr>KHC</vt:lpstr>
      <vt:lpstr>MDT</vt:lpstr>
      <vt:lpstr>NAMS</vt:lpstr>
      <vt:lpstr>NIO</vt:lpstr>
      <vt:lpstr>NKLA</vt:lpstr>
      <vt:lpstr>NVDA</vt:lpstr>
      <vt:lpstr>ORCL</vt:lpstr>
      <vt:lpstr>PTRCY</vt:lpstr>
      <vt:lpstr>SCDH</vt:lpstr>
      <vt:lpstr>SPYI</vt:lpstr>
      <vt:lpstr>SQ</vt:lpstr>
      <vt:lpstr>TSLA</vt:lpstr>
      <vt:lpstr>TUR</vt:lpstr>
      <vt:lpstr>UAL</vt:lpstr>
      <vt:lpstr>UPS</vt:lpstr>
      <vt:lpstr>VIG</vt:lpstr>
      <vt:lpstr>VUG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BeyzaKarakum</dc:creator>
  <cp:lastModifiedBy>KF68796</cp:lastModifiedBy>
  <dcterms:created xsi:type="dcterms:W3CDTF">2015-06-05T18:19:34Z</dcterms:created>
  <dcterms:modified xsi:type="dcterms:W3CDTF">2024-03-11T07:45:10Z</dcterms:modified>
</cp:coreProperties>
</file>