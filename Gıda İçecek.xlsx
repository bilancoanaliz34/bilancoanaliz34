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G:\Drive'ım\Diğer\Borsa Analiz\"/>
    </mc:Choice>
  </mc:AlternateContent>
  <xr:revisionPtr revIDLastSave="0" documentId="13_ncr:1_{D77CC896-CC46-4A2F-9573-7B68A68C21A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ata" sheetId="1" r:id="rId1"/>
    <sheet name="Sayfa1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2" l="1"/>
  <c r="AF31" i="2" s="1"/>
  <c r="N31" i="2" s="1"/>
  <c r="C31" i="2"/>
  <c r="D31" i="2"/>
  <c r="E31" i="2"/>
  <c r="F31" i="2"/>
  <c r="G31" i="2"/>
  <c r="H31" i="2"/>
  <c r="I31" i="2"/>
  <c r="J31" i="2"/>
  <c r="K31" i="2"/>
  <c r="L31" i="2"/>
  <c r="B32" i="2"/>
  <c r="AF32" i="2" s="1"/>
  <c r="N32" i="2" s="1"/>
  <c r="C32" i="2"/>
  <c r="D32" i="2"/>
  <c r="E32" i="2"/>
  <c r="F32" i="2"/>
  <c r="G32" i="2"/>
  <c r="H32" i="2"/>
  <c r="I32" i="2"/>
  <c r="J32" i="2"/>
  <c r="K32" i="2"/>
  <c r="L32" i="2"/>
  <c r="B33" i="2"/>
  <c r="AF33" i="2" s="1"/>
  <c r="N33" i="2" s="1"/>
  <c r="C33" i="2"/>
  <c r="D33" i="2"/>
  <c r="E33" i="2"/>
  <c r="F33" i="2"/>
  <c r="G33" i="2"/>
  <c r="H33" i="2"/>
  <c r="I33" i="2"/>
  <c r="J33" i="2"/>
  <c r="K33" i="2"/>
  <c r="L33" i="2"/>
  <c r="B34" i="2"/>
  <c r="AF34" i="2" s="1"/>
  <c r="N34" i="2" s="1"/>
  <c r="C34" i="2"/>
  <c r="D34" i="2"/>
  <c r="E34" i="2"/>
  <c r="F34" i="2"/>
  <c r="G34" i="2"/>
  <c r="H34" i="2"/>
  <c r="I34" i="2"/>
  <c r="J34" i="2"/>
  <c r="K34" i="2"/>
  <c r="L34" i="2"/>
  <c r="B35" i="2"/>
  <c r="AF35" i="2" s="1"/>
  <c r="N35" i="2" s="1"/>
  <c r="C35" i="2"/>
  <c r="D35" i="2"/>
  <c r="E35" i="2"/>
  <c r="F35" i="2"/>
  <c r="G35" i="2"/>
  <c r="H35" i="2"/>
  <c r="I35" i="2"/>
  <c r="J35" i="2"/>
  <c r="K35" i="2"/>
  <c r="L35" i="2"/>
  <c r="B36" i="2"/>
  <c r="AF36" i="2" s="1"/>
  <c r="N36" i="2" s="1"/>
  <c r="C36" i="2"/>
  <c r="D36" i="2"/>
  <c r="E36" i="2"/>
  <c r="F36" i="2"/>
  <c r="G36" i="2"/>
  <c r="H36" i="2"/>
  <c r="I36" i="2"/>
  <c r="J36" i="2"/>
  <c r="K36" i="2"/>
  <c r="L36" i="2"/>
  <c r="B37" i="2"/>
  <c r="AF37" i="2" s="1"/>
  <c r="N37" i="2" s="1"/>
  <c r="C37" i="2"/>
  <c r="D37" i="2"/>
  <c r="E37" i="2"/>
  <c r="F37" i="2"/>
  <c r="G37" i="2"/>
  <c r="H37" i="2"/>
  <c r="I37" i="2"/>
  <c r="J37" i="2"/>
  <c r="K37" i="2"/>
  <c r="L37" i="2"/>
  <c r="B38" i="2"/>
  <c r="AF38" i="2" s="1"/>
  <c r="N38" i="2" s="1"/>
  <c r="C38" i="2"/>
  <c r="D38" i="2"/>
  <c r="E38" i="2"/>
  <c r="F38" i="2"/>
  <c r="G38" i="2"/>
  <c r="H38" i="2"/>
  <c r="I38" i="2"/>
  <c r="J38" i="2"/>
  <c r="K38" i="2"/>
  <c r="L38" i="2"/>
  <c r="B39" i="2"/>
  <c r="AF39" i="2" s="1"/>
  <c r="N39" i="2" s="1"/>
  <c r="C39" i="2"/>
  <c r="D39" i="2"/>
  <c r="E39" i="2"/>
  <c r="F39" i="2"/>
  <c r="G39" i="2"/>
  <c r="H39" i="2"/>
  <c r="I39" i="2"/>
  <c r="J39" i="2"/>
  <c r="K39" i="2"/>
  <c r="L39" i="2"/>
  <c r="B29" i="2"/>
  <c r="AF29" i="2" s="1"/>
  <c r="N29" i="2" s="1"/>
  <c r="C29" i="2"/>
  <c r="D29" i="2"/>
  <c r="E29" i="2"/>
  <c r="F29" i="2"/>
  <c r="G29" i="2"/>
  <c r="H29" i="2"/>
  <c r="I29" i="2"/>
  <c r="J29" i="2"/>
  <c r="K29" i="2"/>
  <c r="L29" i="2"/>
  <c r="B30" i="2"/>
  <c r="C30" i="2"/>
  <c r="D30" i="2"/>
  <c r="E30" i="2"/>
  <c r="F30" i="2"/>
  <c r="G30" i="2"/>
  <c r="H30" i="2"/>
  <c r="I30" i="2"/>
  <c r="J30" i="2"/>
  <c r="K30" i="2"/>
  <c r="L30" i="2"/>
  <c r="B15" i="2"/>
  <c r="AF15" i="2" s="1"/>
  <c r="N15" i="2" s="1"/>
  <c r="C15" i="2"/>
  <c r="D15" i="2"/>
  <c r="E15" i="2"/>
  <c r="F15" i="2"/>
  <c r="G15" i="2"/>
  <c r="H15" i="2"/>
  <c r="I15" i="2"/>
  <c r="J15" i="2"/>
  <c r="K15" i="2"/>
  <c r="L15" i="2"/>
  <c r="B16" i="2"/>
  <c r="C16" i="2"/>
  <c r="D16" i="2"/>
  <c r="E16" i="2"/>
  <c r="F16" i="2"/>
  <c r="G16" i="2"/>
  <c r="H16" i="2"/>
  <c r="I16" i="2"/>
  <c r="J16" i="2"/>
  <c r="K16" i="2"/>
  <c r="L16" i="2"/>
  <c r="B17" i="2"/>
  <c r="C17" i="2"/>
  <c r="D17" i="2"/>
  <c r="E17" i="2"/>
  <c r="F17" i="2"/>
  <c r="G17" i="2"/>
  <c r="H17" i="2"/>
  <c r="I17" i="2"/>
  <c r="J17" i="2"/>
  <c r="K17" i="2"/>
  <c r="L17" i="2"/>
  <c r="B18" i="2"/>
  <c r="C18" i="2"/>
  <c r="D18" i="2"/>
  <c r="E18" i="2"/>
  <c r="F18" i="2"/>
  <c r="G18" i="2"/>
  <c r="H18" i="2"/>
  <c r="I18" i="2"/>
  <c r="J18" i="2"/>
  <c r="K18" i="2"/>
  <c r="L18" i="2"/>
  <c r="B19" i="2"/>
  <c r="C19" i="2"/>
  <c r="D19" i="2"/>
  <c r="E19" i="2"/>
  <c r="F19" i="2"/>
  <c r="G19" i="2"/>
  <c r="H19" i="2"/>
  <c r="I19" i="2"/>
  <c r="J19" i="2"/>
  <c r="K19" i="2"/>
  <c r="L19" i="2"/>
  <c r="B20" i="2"/>
  <c r="AF20" i="2" s="1"/>
  <c r="N20" i="2" s="1"/>
  <c r="C20" i="2"/>
  <c r="D20" i="2"/>
  <c r="E20" i="2"/>
  <c r="F20" i="2"/>
  <c r="G20" i="2"/>
  <c r="H20" i="2"/>
  <c r="I20" i="2"/>
  <c r="J20" i="2"/>
  <c r="K20" i="2"/>
  <c r="L20" i="2"/>
  <c r="B21" i="2"/>
  <c r="C21" i="2"/>
  <c r="D21" i="2"/>
  <c r="E21" i="2"/>
  <c r="F21" i="2"/>
  <c r="G21" i="2"/>
  <c r="H21" i="2"/>
  <c r="I21" i="2"/>
  <c r="J21" i="2"/>
  <c r="K21" i="2"/>
  <c r="L21" i="2"/>
  <c r="B22" i="2"/>
  <c r="C22" i="2"/>
  <c r="D22" i="2"/>
  <c r="E22" i="2"/>
  <c r="F22" i="2"/>
  <c r="G22" i="2"/>
  <c r="H22" i="2"/>
  <c r="I22" i="2"/>
  <c r="J22" i="2"/>
  <c r="K22" i="2"/>
  <c r="L22" i="2"/>
  <c r="B23" i="2"/>
  <c r="C23" i="2"/>
  <c r="D23" i="2"/>
  <c r="E23" i="2"/>
  <c r="F23" i="2"/>
  <c r="G23" i="2"/>
  <c r="H23" i="2"/>
  <c r="I23" i="2"/>
  <c r="J23" i="2"/>
  <c r="K23" i="2"/>
  <c r="L23" i="2"/>
  <c r="B24" i="2"/>
  <c r="C24" i="2"/>
  <c r="D24" i="2"/>
  <c r="E24" i="2"/>
  <c r="F24" i="2"/>
  <c r="G24" i="2"/>
  <c r="H24" i="2"/>
  <c r="I24" i="2"/>
  <c r="J24" i="2"/>
  <c r="K24" i="2"/>
  <c r="L24" i="2"/>
  <c r="B25" i="2"/>
  <c r="C25" i="2"/>
  <c r="D25" i="2"/>
  <c r="E25" i="2"/>
  <c r="F25" i="2"/>
  <c r="G25" i="2"/>
  <c r="H25" i="2"/>
  <c r="I25" i="2"/>
  <c r="J25" i="2"/>
  <c r="K25" i="2"/>
  <c r="L25" i="2"/>
  <c r="B26" i="2"/>
  <c r="C26" i="2"/>
  <c r="D26" i="2"/>
  <c r="E26" i="2"/>
  <c r="F26" i="2"/>
  <c r="G26" i="2"/>
  <c r="H26" i="2"/>
  <c r="I26" i="2"/>
  <c r="J26" i="2"/>
  <c r="K26" i="2"/>
  <c r="L26" i="2"/>
  <c r="B27" i="2"/>
  <c r="C27" i="2"/>
  <c r="D27" i="2"/>
  <c r="E27" i="2"/>
  <c r="F27" i="2"/>
  <c r="G27" i="2"/>
  <c r="H27" i="2"/>
  <c r="I27" i="2"/>
  <c r="J27" i="2"/>
  <c r="K27" i="2"/>
  <c r="L27" i="2"/>
  <c r="B28" i="2"/>
  <c r="C28" i="2"/>
  <c r="D28" i="2"/>
  <c r="E28" i="2"/>
  <c r="F28" i="2"/>
  <c r="G28" i="2"/>
  <c r="H28" i="2"/>
  <c r="I28" i="2"/>
  <c r="J28" i="2"/>
  <c r="K28" i="2"/>
  <c r="L28" i="2"/>
  <c r="N16" i="2" l="1"/>
  <c r="AF27" i="2"/>
  <c r="N27" i="2" s="1"/>
  <c r="AF23" i="2"/>
  <c r="N23" i="2" s="1"/>
  <c r="AF19" i="2"/>
  <c r="N19" i="2" s="1"/>
  <c r="AF28" i="2"/>
  <c r="N28" i="2" s="1"/>
  <c r="N24" i="2"/>
  <c r="AF25" i="2"/>
  <c r="N25" i="2" s="1"/>
  <c r="AF21" i="2"/>
  <c r="N21" i="2" s="1"/>
  <c r="N17" i="2"/>
  <c r="AF26" i="2"/>
  <c r="N26" i="2" s="1"/>
  <c r="AF22" i="2"/>
  <c r="N22" i="2" s="1"/>
  <c r="AF18" i="2"/>
  <c r="N18" i="2" s="1"/>
  <c r="AF30" i="2"/>
  <c r="N30" i="2" s="1"/>
  <c r="B11" i="2"/>
  <c r="B12" i="2"/>
  <c r="B13" i="2"/>
  <c r="AF13" i="2" s="1"/>
  <c r="B14" i="2"/>
  <c r="AF14" i="2" s="1"/>
  <c r="C11" i="2"/>
  <c r="C12" i="2"/>
  <c r="C13" i="2"/>
  <c r="C14" i="2"/>
  <c r="D11" i="2"/>
  <c r="D12" i="2"/>
  <c r="D13" i="2"/>
  <c r="D14" i="2"/>
  <c r="E11" i="2"/>
  <c r="E12" i="2"/>
  <c r="E13" i="2"/>
  <c r="E14" i="2"/>
  <c r="F11" i="2"/>
  <c r="F12" i="2"/>
  <c r="F13" i="2"/>
  <c r="F14" i="2"/>
  <c r="G11" i="2"/>
  <c r="G12" i="2"/>
  <c r="G13" i="2"/>
  <c r="G14" i="2"/>
  <c r="H11" i="2"/>
  <c r="H12" i="2"/>
  <c r="H13" i="2"/>
  <c r="H14" i="2"/>
  <c r="I11" i="2"/>
  <c r="I12" i="2"/>
  <c r="I13" i="2"/>
  <c r="I14" i="2"/>
  <c r="J11" i="2"/>
  <c r="J12" i="2"/>
  <c r="J13" i="2"/>
  <c r="J14" i="2"/>
  <c r="K11" i="2"/>
  <c r="K12" i="2"/>
  <c r="K13" i="2"/>
  <c r="K14" i="2"/>
  <c r="L11" i="2"/>
  <c r="L12" i="2"/>
  <c r="L13" i="2"/>
  <c r="L14" i="2"/>
  <c r="N12" i="2" l="1"/>
  <c r="N11" i="2"/>
  <c r="N14" i="2"/>
  <c r="N13" i="2"/>
  <c r="D3" i="2"/>
  <c r="D4" i="2"/>
  <c r="D5" i="2"/>
  <c r="D6" i="2"/>
  <c r="D7" i="2"/>
  <c r="D8" i="2"/>
  <c r="D9" i="2"/>
  <c r="D10" i="2"/>
  <c r="R33" i="1"/>
  <c r="T33" i="1" s="1"/>
  <c r="R32" i="1"/>
  <c r="T32" i="1" s="1"/>
  <c r="R31" i="1"/>
  <c r="T31" i="1" s="1"/>
  <c r="R30" i="1"/>
  <c r="T30" i="1" s="1"/>
  <c r="R29" i="1"/>
  <c r="T29" i="1" s="1"/>
  <c r="R28" i="1"/>
  <c r="T28" i="1" s="1"/>
  <c r="R27" i="1"/>
  <c r="T27" i="1" s="1"/>
  <c r="R26" i="1"/>
  <c r="T26" i="1" s="1"/>
  <c r="R25" i="1"/>
  <c r="T25" i="1" s="1"/>
  <c r="R24" i="1"/>
  <c r="T24" i="1" s="1"/>
  <c r="R23" i="1"/>
  <c r="T23" i="1" s="1"/>
  <c r="R22" i="1"/>
  <c r="T22" i="1" s="1"/>
  <c r="R21" i="1"/>
  <c r="T21" i="1" s="1"/>
  <c r="V38" i="2" l="1"/>
  <c r="V36" i="2"/>
  <c r="V34" i="2"/>
  <c r="V32" i="2"/>
  <c r="V39" i="2"/>
  <c r="V37" i="2"/>
  <c r="V35" i="2"/>
  <c r="V33" i="2"/>
  <c r="V31" i="2"/>
  <c r="V30" i="2"/>
  <c r="V28" i="2"/>
  <c r="V26" i="2"/>
  <c r="V24" i="2"/>
  <c r="V22" i="2"/>
  <c r="V20" i="2"/>
  <c r="V18" i="2"/>
  <c r="V16" i="2"/>
  <c r="V29" i="2"/>
  <c r="V27" i="2"/>
  <c r="V25" i="2"/>
  <c r="V23" i="2"/>
  <c r="V21" i="2"/>
  <c r="V19" i="2"/>
  <c r="V17" i="2"/>
  <c r="V15" i="2"/>
  <c r="V14" i="2"/>
  <c r="V11" i="2"/>
  <c r="V12" i="2"/>
  <c r="V13" i="2"/>
  <c r="R3" i="1"/>
  <c r="T3" i="1" s="1"/>
  <c r="R4" i="1"/>
  <c r="T4" i="1" s="1"/>
  <c r="R5" i="1"/>
  <c r="T5" i="1" s="1"/>
  <c r="R6" i="1"/>
  <c r="T6" i="1" s="1"/>
  <c r="R7" i="1"/>
  <c r="T7" i="1" s="1"/>
  <c r="R8" i="1"/>
  <c r="T8" i="1" s="1"/>
  <c r="R9" i="1"/>
  <c r="T9" i="1" s="1"/>
  <c r="R10" i="1"/>
  <c r="T10" i="1" s="1"/>
  <c r="R11" i="1"/>
  <c r="T11" i="1" s="1"/>
  <c r="R12" i="1"/>
  <c r="T12" i="1" s="1"/>
  <c r="R13" i="1"/>
  <c r="T13" i="1" s="1"/>
  <c r="R14" i="1"/>
  <c r="T14" i="1" s="1"/>
  <c r="R15" i="1"/>
  <c r="T15" i="1" s="1"/>
  <c r="R16" i="1"/>
  <c r="T16" i="1" s="1"/>
  <c r="R17" i="1"/>
  <c r="T17" i="1" s="1"/>
  <c r="R18" i="1"/>
  <c r="T18" i="1" s="1"/>
  <c r="R19" i="1"/>
  <c r="T19" i="1" s="1"/>
  <c r="R20" i="1"/>
  <c r="T20" i="1" s="1"/>
  <c r="R2" i="1"/>
  <c r="T2" i="1" s="1"/>
  <c r="L10" i="2"/>
  <c r="K10" i="2"/>
  <c r="J10" i="2"/>
  <c r="I10" i="2"/>
  <c r="H10" i="2"/>
  <c r="G10" i="2"/>
  <c r="F10" i="2"/>
  <c r="E10" i="2"/>
  <c r="C10" i="2"/>
  <c r="B10" i="2"/>
  <c r="AF10" i="2" s="1"/>
  <c r="L9" i="2"/>
  <c r="K9" i="2"/>
  <c r="J9" i="2"/>
  <c r="I9" i="2"/>
  <c r="H9" i="2"/>
  <c r="G9" i="2"/>
  <c r="F9" i="2"/>
  <c r="E9" i="2"/>
  <c r="C9" i="2"/>
  <c r="B9" i="2"/>
  <c r="AF9" i="2" s="1"/>
  <c r="V2" i="1" l="1"/>
  <c r="N10" i="2"/>
  <c r="N9" i="2"/>
  <c r="L8" i="2"/>
  <c r="K8" i="2"/>
  <c r="J8" i="2"/>
  <c r="I8" i="2"/>
  <c r="H8" i="2"/>
  <c r="G8" i="2"/>
  <c r="F8" i="2"/>
  <c r="E8" i="2"/>
  <c r="C8" i="2"/>
  <c r="B8" i="2"/>
  <c r="L7" i="2"/>
  <c r="K7" i="2"/>
  <c r="J7" i="2"/>
  <c r="I7" i="2"/>
  <c r="H7" i="2"/>
  <c r="G7" i="2"/>
  <c r="F7" i="2"/>
  <c r="E7" i="2"/>
  <c r="C7" i="2"/>
  <c r="B7" i="2"/>
  <c r="L6" i="2"/>
  <c r="K6" i="2"/>
  <c r="J6" i="2"/>
  <c r="I6" i="2"/>
  <c r="H6" i="2"/>
  <c r="G6" i="2"/>
  <c r="F6" i="2"/>
  <c r="E6" i="2"/>
  <c r="C6" i="2"/>
  <c r="B6" i="2"/>
  <c r="AF6" i="2" s="1"/>
  <c r="L5" i="2"/>
  <c r="K5" i="2"/>
  <c r="J5" i="2"/>
  <c r="I5" i="2"/>
  <c r="H5" i="2"/>
  <c r="G5" i="2"/>
  <c r="F5" i="2"/>
  <c r="E5" i="2"/>
  <c r="C5" i="2"/>
  <c r="B5" i="2"/>
  <c r="AF5" i="2" s="1"/>
  <c r="J3" i="2"/>
  <c r="J4" i="2"/>
  <c r="AB35" i="2" l="1"/>
  <c r="AB33" i="2"/>
  <c r="AB32" i="2"/>
  <c r="AB37" i="2"/>
  <c r="AB39" i="2"/>
  <c r="AB34" i="2"/>
  <c r="AB31" i="2"/>
  <c r="AB38" i="2"/>
  <c r="AB36" i="2"/>
  <c r="AB19" i="2"/>
  <c r="AB15" i="2"/>
  <c r="AB20" i="2"/>
  <c r="AB21" i="2"/>
  <c r="AB30" i="2"/>
  <c r="AB22" i="2"/>
  <c r="AB26" i="2"/>
  <c r="AB16" i="2"/>
  <c r="N6" i="2"/>
  <c r="N5" i="2"/>
  <c r="AB29" i="2"/>
  <c r="AB17" i="2"/>
  <c r="AB24" i="2"/>
  <c r="AB25" i="2"/>
  <c r="AB27" i="2"/>
  <c r="AB23" i="2"/>
  <c r="AB28" i="2"/>
  <c r="AB18" i="2"/>
  <c r="AB11" i="2"/>
  <c r="AB14" i="2"/>
  <c r="N8" i="2"/>
  <c r="N7" i="2"/>
  <c r="AB12" i="2"/>
  <c r="AB13" i="2"/>
  <c r="AB3" i="2"/>
  <c r="AB4" i="2"/>
  <c r="AB7" i="2"/>
  <c r="AB6" i="2"/>
  <c r="AB9" i="2"/>
  <c r="AB10" i="2"/>
  <c r="AB5" i="2"/>
  <c r="AB8" i="2"/>
  <c r="R5" i="2"/>
  <c r="L3" i="2"/>
  <c r="L4" i="2"/>
  <c r="K3" i="2"/>
  <c r="K4" i="2"/>
  <c r="I3" i="2"/>
  <c r="I4" i="2"/>
  <c r="H3" i="2"/>
  <c r="H4" i="2"/>
  <c r="G3" i="2"/>
  <c r="G4" i="2"/>
  <c r="F3" i="2"/>
  <c r="F4" i="2"/>
  <c r="E3" i="2"/>
  <c r="E4" i="2"/>
  <c r="C4" i="2"/>
  <c r="C3" i="2"/>
  <c r="B3" i="2"/>
  <c r="AF3" i="2" s="1"/>
  <c r="B4" i="2"/>
  <c r="AD36" i="2" l="1"/>
  <c r="U34" i="2"/>
  <c r="AC32" i="2"/>
  <c r="AC35" i="2"/>
  <c r="X39" i="2"/>
  <c r="X37" i="2"/>
  <c r="X35" i="2"/>
  <c r="X33" i="2"/>
  <c r="X31" i="2"/>
  <c r="X38" i="2"/>
  <c r="X36" i="2"/>
  <c r="X34" i="2"/>
  <c r="X32" i="2"/>
  <c r="Z38" i="2"/>
  <c r="Z36" i="2"/>
  <c r="Z34" i="2"/>
  <c r="Z32" i="2"/>
  <c r="Z39" i="2"/>
  <c r="Z37" i="2"/>
  <c r="Z35" i="2"/>
  <c r="Z33" i="2"/>
  <c r="Z31" i="2"/>
  <c r="AC39" i="2"/>
  <c r="AC34" i="2"/>
  <c r="AC31" i="2"/>
  <c r="AC37" i="2"/>
  <c r="AC36" i="2"/>
  <c r="AC33" i="2"/>
  <c r="AC38" i="2"/>
  <c r="W39" i="2"/>
  <c r="W37" i="2"/>
  <c r="W35" i="2"/>
  <c r="W33" i="2"/>
  <c r="W31" i="2"/>
  <c r="W38" i="2"/>
  <c r="W36" i="2"/>
  <c r="W34" i="2"/>
  <c r="W32" i="2"/>
  <c r="Y38" i="2"/>
  <c r="Y36" i="2"/>
  <c r="Y34" i="2"/>
  <c r="Y32" i="2"/>
  <c r="Y39" i="2"/>
  <c r="Y37" i="2"/>
  <c r="Y35" i="2"/>
  <c r="Y33" i="2"/>
  <c r="Y31" i="2"/>
  <c r="AA35" i="2"/>
  <c r="AA37" i="2"/>
  <c r="AA38" i="2"/>
  <c r="AA39" i="2"/>
  <c r="AA32" i="2"/>
  <c r="AA31" i="2"/>
  <c r="AA33" i="2"/>
  <c r="AA36" i="2"/>
  <c r="AA34" i="2"/>
  <c r="U32" i="2"/>
  <c r="U38" i="2"/>
  <c r="U39" i="2"/>
  <c r="U36" i="2"/>
  <c r="U37" i="2"/>
  <c r="U31" i="2"/>
  <c r="U35" i="2"/>
  <c r="U33" i="2"/>
  <c r="AD26" i="2"/>
  <c r="AD38" i="2"/>
  <c r="AD37" i="2"/>
  <c r="AD34" i="2"/>
  <c r="AD39" i="2"/>
  <c r="AD31" i="2"/>
  <c r="AD35" i="2"/>
  <c r="AD32" i="2"/>
  <c r="AD33" i="2"/>
  <c r="U17" i="2"/>
  <c r="Z28" i="2"/>
  <c r="AC4" i="2"/>
  <c r="AC25" i="2"/>
  <c r="AC26" i="2"/>
  <c r="AC27" i="2"/>
  <c r="AC20" i="2"/>
  <c r="AD20" i="2"/>
  <c r="AC18" i="2"/>
  <c r="AC23" i="2"/>
  <c r="AC15" i="2"/>
  <c r="AC28" i="2"/>
  <c r="AC21" i="2"/>
  <c r="AD23" i="2"/>
  <c r="AD27" i="2"/>
  <c r="AD21" i="2"/>
  <c r="AD18" i="2"/>
  <c r="Y17" i="2"/>
  <c r="AA22" i="2"/>
  <c r="W26" i="2"/>
  <c r="Y29" i="2"/>
  <c r="AA28" i="2"/>
  <c r="AD29" i="2"/>
  <c r="Z26" i="2"/>
  <c r="Z15" i="2"/>
  <c r="Z20" i="2"/>
  <c r="U18" i="2"/>
  <c r="U20" i="2"/>
  <c r="U21" i="2"/>
  <c r="X28" i="2"/>
  <c r="X25" i="2"/>
  <c r="AC30" i="2"/>
  <c r="AC17" i="2"/>
  <c r="Y19" i="2"/>
  <c r="Y30" i="2"/>
  <c r="Y27" i="2"/>
  <c r="AA15" i="2"/>
  <c r="AA25" i="2"/>
  <c r="AA16" i="2"/>
  <c r="AA30" i="2"/>
  <c r="W28" i="2"/>
  <c r="W21" i="2"/>
  <c r="W29" i="2"/>
  <c r="AD22" i="2"/>
  <c r="AD24" i="2"/>
  <c r="Z23" i="2"/>
  <c r="U16" i="2"/>
  <c r="U29" i="2"/>
  <c r="X20" i="2"/>
  <c r="X17" i="2"/>
  <c r="Y22" i="2"/>
  <c r="AD11" i="2"/>
  <c r="AD25" i="2"/>
  <c r="AD15" i="2"/>
  <c r="Z17" i="2"/>
  <c r="Z25" i="2"/>
  <c r="Z22" i="2"/>
  <c r="Z30" i="2"/>
  <c r="U30" i="2"/>
  <c r="U15" i="2"/>
  <c r="U24" i="2"/>
  <c r="U25" i="2"/>
  <c r="X22" i="2"/>
  <c r="X30" i="2"/>
  <c r="X19" i="2"/>
  <c r="X27" i="2"/>
  <c r="AC11" i="2"/>
  <c r="AC22" i="2"/>
  <c r="AC29" i="2"/>
  <c r="Y21" i="2"/>
  <c r="Y16" i="2"/>
  <c r="Y24" i="2"/>
  <c r="AA21" i="2"/>
  <c r="AA29" i="2"/>
  <c r="AA24" i="2"/>
  <c r="AA18" i="2"/>
  <c r="W20" i="2"/>
  <c r="W16" i="2"/>
  <c r="W15" i="2"/>
  <c r="W23" i="2"/>
  <c r="AD28" i="2"/>
  <c r="AD30" i="2"/>
  <c r="Z19" i="2"/>
  <c r="Z27" i="2"/>
  <c r="Z16" i="2"/>
  <c r="Z24" i="2"/>
  <c r="U22" i="2"/>
  <c r="U19" i="2"/>
  <c r="U28" i="2"/>
  <c r="X16" i="2"/>
  <c r="X24" i="2"/>
  <c r="X21" i="2"/>
  <c r="X29" i="2"/>
  <c r="AC14" i="2"/>
  <c r="AC19" i="2"/>
  <c r="Y23" i="2"/>
  <c r="Y18" i="2"/>
  <c r="Y26" i="2"/>
  <c r="Y15" i="2"/>
  <c r="AA19" i="2"/>
  <c r="AA26" i="2"/>
  <c r="W22" i="2"/>
  <c r="W18" i="2"/>
  <c r="W17" i="2"/>
  <c r="W25" i="2"/>
  <c r="N4" i="2"/>
  <c r="AD17" i="2"/>
  <c r="AD19" i="2"/>
  <c r="AD16" i="2"/>
  <c r="Z21" i="2"/>
  <c r="Z29" i="2"/>
  <c r="Z18" i="2"/>
  <c r="U27" i="2"/>
  <c r="U23" i="2"/>
  <c r="U26" i="2"/>
  <c r="X18" i="2"/>
  <c r="X26" i="2"/>
  <c r="X15" i="2"/>
  <c r="X23" i="2"/>
  <c r="AC24" i="2"/>
  <c r="AC16" i="2"/>
  <c r="Y25" i="2"/>
  <c r="Y20" i="2"/>
  <c r="Y28" i="2"/>
  <c r="AA27" i="2"/>
  <c r="AA23" i="2"/>
  <c r="AA17" i="2"/>
  <c r="AA20" i="2"/>
  <c r="W30" i="2"/>
  <c r="W24" i="2"/>
  <c r="W19" i="2"/>
  <c r="W27" i="2"/>
  <c r="U12" i="2"/>
  <c r="U13" i="2"/>
  <c r="U11" i="2"/>
  <c r="U14" i="2"/>
  <c r="X12" i="2"/>
  <c r="X14" i="2"/>
  <c r="X13" i="2"/>
  <c r="X11" i="2"/>
  <c r="Z11" i="2"/>
  <c r="Z14" i="2"/>
  <c r="Z13" i="2"/>
  <c r="Z12" i="2"/>
  <c r="AC12" i="2"/>
  <c r="AC13" i="2"/>
  <c r="W11" i="2"/>
  <c r="W12" i="2"/>
  <c r="W14" i="2"/>
  <c r="W13" i="2"/>
  <c r="Y14" i="2"/>
  <c r="Y13" i="2"/>
  <c r="Y12" i="2"/>
  <c r="Y11" i="2"/>
  <c r="AA11" i="2"/>
  <c r="AA12" i="2"/>
  <c r="AA14" i="2"/>
  <c r="AA13" i="2"/>
  <c r="AD14" i="2"/>
  <c r="AD13" i="2"/>
  <c r="AD12" i="2"/>
  <c r="U7" i="2"/>
  <c r="U6" i="2"/>
  <c r="U3" i="2"/>
  <c r="U9" i="2"/>
  <c r="U10" i="2"/>
  <c r="U5" i="2"/>
  <c r="U4" i="2"/>
  <c r="U8" i="2"/>
  <c r="AC9" i="2"/>
  <c r="AC8" i="2"/>
  <c r="AA3" i="2"/>
  <c r="AD3" i="2"/>
  <c r="AD10" i="2"/>
  <c r="AC10" i="2"/>
  <c r="N3" i="2"/>
  <c r="Z5" i="2"/>
  <c r="Z9" i="2"/>
  <c r="Z6" i="2"/>
  <c r="Z10" i="2"/>
  <c r="Z7" i="2"/>
  <c r="Z4" i="2"/>
  <c r="Z8" i="2"/>
  <c r="Z3" i="2"/>
  <c r="AC3" i="2"/>
  <c r="AA8" i="2"/>
  <c r="AA9" i="2"/>
  <c r="AA4" i="2"/>
  <c r="AD4" i="2"/>
  <c r="AA7" i="2"/>
  <c r="AD7" i="2"/>
  <c r="AA10" i="2"/>
  <c r="AD8" i="2"/>
  <c r="AD9" i="2"/>
  <c r="Y4" i="2"/>
  <c r="Y8" i="2"/>
  <c r="Y3" i="2"/>
  <c r="Y5" i="2"/>
  <c r="Y9" i="2"/>
  <c r="Y6" i="2"/>
  <c r="Y10" i="2"/>
  <c r="Y7" i="2"/>
  <c r="AD6" i="2"/>
  <c r="AC6" i="2"/>
  <c r="AC7" i="2"/>
  <c r="AA6" i="2"/>
  <c r="AC5" i="2"/>
  <c r="AA5" i="2"/>
  <c r="AD5" i="2"/>
  <c r="W7" i="2"/>
  <c r="W5" i="2"/>
  <c r="W10" i="2"/>
  <c r="W4" i="2"/>
  <c r="W8" i="2"/>
  <c r="W3" i="2"/>
  <c r="W9" i="2"/>
  <c r="W6" i="2"/>
  <c r="V6" i="2"/>
  <c r="V10" i="2"/>
  <c r="V8" i="2"/>
  <c r="V5" i="2"/>
  <c r="V7" i="2"/>
  <c r="V4" i="2"/>
  <c r="V3" i="2"/>
  <c r="V9" i="2"/>
  <c r="X4" i="2"/>
  <c r="X8" i="2"/>
  <c r="X3" i="2"/>
  <c r="X6" i="2"/>
  <c r="X5" i="2"/>
  <c r="X9" i="2"/>
  <c r="X10" i="2"/>
  <c r="X7" i="2"/>
  <c r="R11" i="2"/>
  <c r="R10" i="2"/>
  <c r="R8" i="2"/>
  <c r="R9" i="2"/>
  <c r="R4" i="2"/>
  <c r="R7" i="2"/>
  <c r="R3" i="2"/>
  <c r="R6" i="2"/>
  <c r="T39" i="2" l="1"/>
  <c r="T34" i="2"/>
  <c r="T32" i="2"/>
  <c r="T31" i="2"/>
  <c r="T33" i="2"/>
  <c r="T36" i="2"/>
  <c r="T35" i="2"/>
  <c r="T38" i="2"/>
  <c r="T37" i="2"/>
  <c r="T25" i="2"/>
  <c r="T27" i="2"/>
  <c r="R12" i="2"/>
  <c r="T24" i="2"/>
  <c r="T17" i="2"/>
  <c r="T29" i="2"/>
  <c r="T30" i="2"/>
  <c r="T22" i="2"/>
  <c r="T16" i="2"/>
  <c r="T26" i="2"/>
  <c r="T28" i="2"/>
  <c r="T23" i="2"/>
  <c r="T19" i="2"/>
  <c r="T15" i="2"/>
  <c r="T18" i="2"/>
  <c r="T20" i="2"/>
  <c r="T21" i="2"/>
  <c r="T14" i="2"/>
  <c r="T12" i="2"/>
  <c r="T13" i="2"/>
  <c r="T11" i="2"/>
  <c r="T9" i="2"/>
  <c r="T10" i="2"/>
  <c r="T4" i="2"/>
  <c r="T7" i="2"/>
  <c r="T5" i="2"/>
  <c r="T3" i="2"/>
  <c r="T6" i="2"/>
  <c r="T8" i="2"/>
  <c r="T2" i="2" l="1"/>
</calcChain>
</file>

<file path=xl/sharedStrings.xml><?xml version="1.0" encoding="utf-8"?>
<sst xmlns="http://schemas.openxmlformats.org/spreadsheetml/2006/main" count="116" uniqueCount="54">
  <si>
    <t>Şirket</t>
  </si>
  <si>
    <t>Özkaynak Karlılığı</t>
  </si>
  <si>
    <t>PD/DD</t>
  </si>
  <si>
    <t>F/K</t>
  </si>
  <si>
    <t>FD/FAVÖK</t>
  </si>
  <si>
    <t>FD/Satış</t>
  </si>
  <si>
    <t>PEG</t>
  </si>
  <si>
    <t>ROIC</t>
  </si>
  <si>
    <t>Yıllık Net Kar Değişimi</t>
  </si>
  <si>
    <t>Yıllık FAVÖK Değişimi</t>
  </si>
  <si>
    <t>Yıllık Satışlar Değişimi</t>
  </si>
  <si>
    <t xml:space="preserve">Yıllık İşletme Faaliyetleri Nakit Akış Değişimi </t>
  </si>
  <si>
    <t>2023/9</t>
  </si>
  <si>
    <t>Kapanış Fiyatı</t>
  </si>
  <si>
    <t>Bilanço Sonrası Hisse Fiyatı</t>
  </si>
  <si>
    <t>#</t>
  </si>
  <si>
    <t xml:space="preserve">#AHGAZ #AKENR #AKFYE #AKSEN #ALARK #ARASE #AYDEM #AYEN #BASGZ #BIOEN #CANTE #CONSE #ENERY #ENJSA #ESEN #GWIND #HUNER #IZENR #KARYE #MAGEN #MANAS #NATEN #NTGAZ #ODAS #PAMEL #PRKME #YAYLA #ZOREN </t>
  </si>
  <si>
    <t>AEFES</t>
  </si>
  <si>
    <t>ATAKP</t>
  </si>
  <si>
    <t>AVOD</t>
  </si>
  <si>
    <t>BANVT</t>
  </si>
  <si>
    <t>BIGCH</t>
  </si>
  <si>
    <t>BYDNR</t>
  </si>
  <si>
    <t>CCOLA</t>
  </si>
  <si>
    <t>DARDL</t>
  </si>
  <si>
    <t>DMRGD</t>
  </si>
  <si>
    <t>EKSUN</t>
  </si>
  <si>
    <t>ELITE</t>
  </si>
  <si>
    <t>FADE</t>
  </si>
  <si>
    <t>FRIGO</t>
  </si>
  <si>
    <t>GOKNR</t>
  </si>
  <si>
    <t>GRTRK</t>
  </si>
  <si>
    <t>KENT</t>
  </si>
  <si>
    <t>KERVT</t>
  </si>
  <si>
    <t>KNFRT</t>
  </si>
  <si>
    <t>KRSTL</t>
  </si>
  <si>
    <t>KRVGD</t>
  </si>
  <si>
    <t>KTSKR</t>
  </si>
  <si>
    <t>OFSYM</t>
  </si>
  <si>
    <t>ORCAY</t>
  </si>
  <si>
    <t>OYLUM</t>
  </si>
  <si>
    <t>PENGD</t>
  </si>
  <si>
    <t>PETUN</t>
  </si>
  <si>
    <t>PINSU</t>
  </si>
  <si>
    <t>PNSUT</t>
  </si>
  <si>
    <t>SELVA</t>
  </si>
  <si>
    <t>TABGD</t>
  </si>
  <si>
    <t>TATGD</t>
  </si>
  <si>
    <t>TBORG</t>
  </si>
  <si>
    <t>TUKAS</t>
  </si>
  <si>
    <t>ULKER</t>
  </si>
  <si>
    <t>ULUUN</t>
  </si>
  <si>
    <t>VANGD</t>
  </si>
  <si>
    <t>YYLGD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</si>
</sst>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b/>
      <sz val="14"/>
      <color rgb="FF687FF4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right" vertical="center"/>
    </xf>
    <xf numFmtId="2" fontId="0" fillId="0" borderId="5" xfId="0" applyNumberFormat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2" fontId="0" fillId="0" borderId="3" xfId="1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0" fontId="0" fillId="0" borderId="0" xfId="1" applyNumberFormat="1" applyFont="1" applyAlignment="1">
      <alignment vertical="center"/>
    </xf>
    <xf numFmtId="164" fontId="2" fillId="0" borderId="0" xfId="1" applyNumberFormat="1" applyFont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9" fontId="3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0" fillId="0" borderId="5" xfId="1" applyNumberFormat="1" applyFon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center"/>
    </xf>
    <xf numFmtId="10" fontId="2" fillId="0" borderId="0" xfId="1" applyNumberFormat="1" applyFont="1" applyAlignment="1">
      <alignment vertical="center"/>
    </xf>
  </cellXfs>
  <cellStyles count="2">
    <cellStyle name="Normal" xfId="0" builtinId="0"/>
    <cellStyle name="Yüzde" xfId="1" builtinId="5"/>
  </cellStyles>
  <dxfs count="16">
    <dxf>
      <numFmt numFmtId="164" formatCode="0.0%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/>
        <horizontal/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/>
        <horizontal/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 outline="0">
        <left/>
        <right/>
        <top style="thick">
          <color theme="0"/>
        </top>
        <bottom style="thick">
          <color theme="0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/>
        <top style="thick">
          <color theme="0"/>
        </top>
        <bottom style="thick">
          <color theme="0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/>
        <top style="thick">
          <color theme="0"/>
        </top>
        <bottom style="thick">
          <color theme="0"/>
        </bottom>
      </border>
    </dxf>
    <dxf>
      <font>
        <b/>
        <strike val="0"/>
        <outline val="0"/>
        <shadow val="0"/>
        <u val="none"/>
        <vertAlign val="baseline"/>
        <sz val="14"/>
        <color rgb="FF687FF4"/>
        <name val="Calibri"/>
        <family val="2"/>
        <charset val="162"/>
        <scheme val="minor"/>
      </font>
      <alignment vertical="center" textRotation="0" indent="0" justifyLastLine="0" shrinkToFit="0" readingOrder="0"/>
      <border diagonalUp="0" diagonalDown="0" outline="0">
        <left/>
        <right style="thick">
          <color theme="0"/>
        </right>
        <top style="thick">
          <color theme="0"/>
        </top>
        <bottom style="thick">
          <color theme="0"/>
        </bottom>
      </border>
    </dxf>
    <dxf>
      <border>
        <top style="thick">
          <color theme="0"/>
        </top>
      </border>
    </dxf>
    <dxf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alignment horizontal="center" vertical="center" textRotation="0" wrapText="0" indent="0" justifyLastLine="0" shrinkToFit="0" readingOrder="0"/>
    </dxf>
    <dxf>
      <border>
        <bottom style="thick">
          <color theme="0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charset val="162"/>
        <scheme val="minor"/>
      </font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</dxfs>
  <tableStyles count="0" defaultTableStyle="TableStyleMedium9" defaultPivotStyle="PivotStyleMedium4"/>
  <colors>
    <mruColors>
      <color rgb="FF687FF4"/>
      <color rgb="FFFC60C4"/>
      <color rgb="FF047E67"/>
      <color rgb="FFEB700B"/>
      <color rgb="FFFE6666"/>
      <color rgb="FF5DD9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Drive'&#305;m\Di&#287;er\Borsa%20Analiz\1-Borsa%20&#199;al&#305;&#351;ma.xlsx" TargetMode="External"/><Relationship Id="rId1" Type="http://schemas.openxmlformats.org/officeDocument/2006/relationships/externalLinkPath" Target="1-Borsa%20&#199;al&#305;&#351;m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yfa1"/>
      <sheetName val="Sayfa2"/>
      <sheetName val="Sayfa3"/>
      <sheetName val="data"/>
      <sheetName val="Sayfa4"/>
      <sheetName val="Sayfa5"/>
      <sheetName val="GYO"/>
      <sheetName val="DEA"/>
      <sheetName val="ANA M"/>
      <sheetName val="AMB"/>
      <sheetName val="ARK"/>
      <sheetName val="B.Y."/>
      <sheetName val="CSP"/>
      <sheetName val="ENT"/>
      <sheetName val="En.Ü."/>
      <sheetName val="G.P."/>
      <sheetName val="Gı-Iç"/>
      <sheetName val="HAB"/>
      <sheetName val="HOLD"/>
      <sheetName val="ILAC"/>
      <sheetName val="KAMA"/>
      <sheetName val="Sayfa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DCC89F-5199-48A4-A1B6-1973822B08D0}" name="Tablo1" displayName="Tablo1" ref="B2:L39" totalsRowShown="0" headerRowDxfId="15" dataDxfId="13" headerRowBorderDxfId="14" tableBorderDxfId="12" totalsRowBorderDxfId="11">
  <autoFilter ref="B2:L39" xr:uid="{06DCC89F-5199-48A4-A1B6-1973822B08D0}"/>
  <tableColumns count="11">
    <tableColumn id="1" xr3:uid="{DB058AAE-8836-4A67-A8AF-3B1E4D508ED2}" name="Şirket" dataDxfId="10">
      <calculatedColumnFormula>+data!A2</calculatedColumnFormula>
    </tableColumn>
    <tableColumn id="2" xr3:uid="{C9FD7B0C-3B22-4ACB-951C-F227F46047AB}" name="Özkaynak Karlılığı" dataDxfId="9" dataCellStyle="Yüzde">
      <calculatedColumnFormula>+data!B2/100</calculatedColumnFormula>
    </tableColumn>
    <tableColumn id="3" xr3:uid="{791EDFA7-3B7D-4D77-9960-0C214D8D5419}" name="PD/DD" dataDxfId="8">
      <calculatedColumnFormula>IF(data!C2&lt;0,"",data!C2)</calculatedColumnFormula>
    </tableColumn>
    <tableColumn id="4" xr3:uid="{EDCBB533-5839-4BD8-BA97-362B0CD0980A}" name="F/K" dataDxfId="7">
      <calculatedColumnFormula>IF(data!D2="","",data!D2)</calculatedColumnFormula>
    </tableColumn>
    <tableColumn id="5" xr3:uid="{2A745841-F480-4922-AC33-B08CCE7EE14E}" name="FD/FAVÖK" dataDxfId="6">
      <calculatedColumnFormula>IF(data!E2="","",data!E2)</calculatedColumnFormula>
    </tableColumn>
    <tableColumn id="6" xr3:uid="{8D0D068C-C623-4343-B44D-CEF1E60F0181}" name="FD/Satış" dataDxfId="5">
      <calculatedColumnFormula>IF(data!F2="","",data!F2)</calculatedColumnFormula>
    </tableColumn>
    <tableColumn id="7" xr3:uid="{25E03C56-2BA5-4B55-845D-E10692E36E1A}" name="PEG" dataDxfId="4">
      <calculatedColumnFormula>IF(data!G2="","",data!G2)</calculatedColumnFormula>
    </tableColumn>
    <tableColumn id="8" xr3:uid="{2757D01D-F636-4214-8413-25343C5851D9}" name="ROIC" dataDxfId="3" dataCellStyle="Yüzde">
      <calculatedColumnFormula>IF(data!H2/100="","",data!H2/100)</calculatedColumnFormula>
    </tableColumn>
    <tableColumn id="9" xr3:uid="{3D650952-779D-4594-97C7-E595D93E9C54}" name="Yıllık Net Kar Değişimi" dataDxfId="2">
      <calculatedColumnFormula>IF(data!I2/100=0,"",data!I2/100)</calculatedColumnFormula>
    </tableColumn>
    <tableColumn id="10" xr3:uid="{735BA8B3-1DCE-4D3B-99F6-EE20448B5649}" name="Yıllık FAVÖK Değişimi" dataDxfId="1">
      <calculatedColumnFormula>IF(data!J2/100="","",data!J2/100)</calculatedColumnFormula>
    </tableColumn>
    <tableColumn id="11" xr3:uid="{FE94096D-4CDF-464A-87F5-80E490A86FC9}" name="Yıllık Satışlar Değişimi" dataDxfId="0">
      <calculatedColumnFormula>IF(data!K2/100="","",data!K2/100)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"/>
  <sheetViews>
    <sheetView topLeftCell="A16" workbookViewId="0">
      <selection activeCell="B28" sqref="B28"/>
    </sheetView>
  </sheetViews>
  <sheetFormatPr defaultRowHeight="15.7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</row>
    <row r="2" spans="1:22" x14ac:dyDescent="0.25">
      <c r="A2" t="s">
        <v>17</v>
      </c>
      <c r="B2">
        <v>24.43</v>
      </c>
      <c r="C2">
        <v>2.04</v>
      </c>
      <c r="D2">
        <v>9.65</v>
      </c>
      <c r="E2">
        <v>3.23</v>
      </c>
      <c r="F2">
        <v>0.66</v>
      </c>
      <c r="G2">
        <v>0.06</v>
      </c>
      <c r="H2">
        <v>125.36</v>
      </c>
      <c r="I2">
        <v>137.36000000000001</v>
      </c>
      <c r="J2">
        <v>82.15</v>
      </c>
      <c r="K2">
        <v>65.06</v>
      </c>
      <c r="L2">
        <v>64.91</v>
      </c>
      <c r="M2">
        <v>131.4</v>
      </c>
      <c r="Q2" t="s">
        <v>15</v>
      </c>
      <c r="R2" t="str">
        <f>CONCATENATE(Q2,A2)</f>
        <v>#AEFES</v>
      </c>
      <c r="T2" t="str">
        <f>CONCATENATE(R2," ")</f>
        <v xml:space="preserve">#AEFES </v>
      </c>
      <c r="V2" t="str">
        <f>CONCATENATE(T2,T3,T4,T5,T6,T7,T8,T9,T10,T11,T12,T13,T14,T15,T16,T17,T18,T19,T20,T21,T22,T23,T24,T25,T26,T27,T28,T29)</f>
        <v xml:space="preserve">#AEFES #ATAKP #AVOD #BANVT #BIGCH #BYDNR #CCOLA #DARDL #DMRGD #EKSUN #ELITE #FADE #FRIGO #GOKNR #GRTRK #KENT #KERVT #KNFRT #KRSTL #KRVGD #KTSKR #OFSYM #ORCAY #OYLUM #PENGD #PETUN #PINSU #PNSUT </v>
      </c>
    </row>
    <row r="3" spans="1:22" x14ac:dyDescent="0.25">
      <c r="A3" t="s">
        <v>18</v>
      </c>
      <c r="B3">
        <v>48.87</v>
      </c>
      <c r="C3">
        <v>3.32</v>
      </c>
      <c r="D3">
        <v>13.58</v>
      </c>
      <c r="E3">
        <v>8.42</v>
      </c>
      <c r="F3">
        <v>3.41</v>
      </c>
      <c r="G3">
        <v>0.18</v>
      </c>
      <c r="H3">
        <v>129.33000000000001</v>
      </c>
      <c r="I3">
        <v>10.49</v>
      </c>
      <c r="J3">
        <v>74.28</v>
      </c>
      <c r="K3">
        <v>106.56</v>
      </c>
      <c r="L3">
        <v>-66.06</v>
      </c>
      <c r="M3">
        <v>46.42</v>
      </c>
      <c r="Q3" t="s">
        <v>15</v>
      </c>
      <c r="R3" t="str">
        <f t="shared" ref="R3:R20" si="0">CONCATENATE(Q3,A3)</f>
        <v>#ATAKP</v>
      </c>
      <c r="T3" t="str">
        <f t="shared" ref="T3:T20" si="1">CONCATENATE(R3," ")</f>
        <v xml:space="preserve">#ATAKP </v>
      </c>
    </row>
    <row r="4" spans="1:22" x14ac:dyDescent="0.25">
      <c r="A4" t="s">
        <v>19</v>
      </c>
      <c r="B4">
        <v>19.059999999999999</v>
      </c>
      <c r="C4">
        <v>1.86</v>
      </c>
      <c r="D4">
        <v>10.76</v>
      </c>
      <c r="E4">
        <v>12.34</v>
      </c>
      <c r="F4">
        <v>1.33</v>
      </c>
      <c r="G4">
        <v>0.73</v>
      </c>
      <c r="H4">
        <v>29.73</v>
      </c>
      <c r="I4">
        <v>-73.42</v>
      </c>
      <c r="J4">
        <v>-9.73</v>
      </c>
      <c r="K4">
        <v>54.89</v>
      </c>
      <c r="L4">
        <v>-67.44</v>
      </c>
      <c r="M4">
        <v>3.18</v>
      </c>
      <c r="Q4" t="s">
        <v>15</v>
      </c>
      <c r="R4" t="str">
        <f t="shared" si="0"/>
        <v>#AVOD</v>
      </c>
      <c r="T4" t="str">
        <f t="shared" si="1"/>
        <v xml:space="preserve">#AVOD </v>
      </c>
    </row>
    <row r="5" spans="1:22" x14ac:dyDescent="0.25">
      <c r="A5" t="s">
        <v>20</v>
      </c>
      <c r="B5">
        <v>-1.24</v>
      </c>
      <c r="C5">
        <v>3.9</v>
      </c>
      <c r="E5">
        <v>6.83</v>
      </c>
      <c r="F5">
        <v>0.74</v>
      </c>
      <c r="G5">
        <v>4.83</v>
      </c>
      <c r="H5">
        <v>66.39</v>
      </c>
      <c r="J5">
        <v>371.21</v>
      </c>
      <c r="K5">
        <v>51.49</v>
      </c>
      <c r="L5">
        <v>491.83</v>
      </c>
      <c r="M5">
        <v>103.5</v>
      </c>
      <c r="Q5" t="s">
        <v>15</v>
      </c>
      <c r="R5" t="str">
        <f t="shared" si="0"/>
        <v>#BANVT</v>
      </c>
      <c r="T5" t="str">
        <f t="shared" si="1"/>
        <v xml:space="preserve">#BANVT </v>
      </c>
    </row>
    <row r="6" spans="1:22" x14ac:dyDescent="0.25">
      <c r="A6" t="s">
        <v>21</v>
      </c>
      <c r="B6">
        <v>95.56</v>
      </c>
      <c r="C6">
        <v>5.96</v>
      </c>
      <c r="D6">
        <v>12.48</v>
      </c>
      <c r="E6">
        <v>6.55</v>
      </c>
      <c r="F6">
        <v>1.6</v>
      </c>
      <c r="G6">
        <v>0.05</v>
      </c>
      <c r="H6">
        <v>536.64</v>
      </c>
      <c r="I6">
        <v>158.66999999999999</v>
      </c>
      <c r="J6">
        <v>87.69</v>
      </c>
      <c r="K6">
        <v>103.6</v>
      </c>
      <c r="L6">
        <v>189.34</v>
      </c>
      <c r="M6">
        <v>22.38</v>
      </c>
      <c r="Q6" t="s">
        <v>15</v>
      </c>
      <c r="R6" t="str">
        <f t="shared" si="0"/>
        <v>#BIGCH</v>
      </c>
      <c r="T6" t="str">
        <f t="shared" si="1"/>
        <v xml:space="preserve">#BIGCH </v>
      </c>
      <c r="V6" t="s">
        <v>16</v>
      </c>
    </row>
    <row r="7" spans="1:22" x14ac:dyDescent="0.25">
      <c r="A7" t="s">
        <v>22</v>
      </c>
      <c r="B7">
        <v>30.53</v>
      </c>
      <c r="C7">
        <v>3.18</v>
      </c>
      <c r="D7">
        <v>20.85</v>
      </c>
      <c r="E7">
        <v>7.32</v>
      </c>
      <c r="F7">
        <v>1.36</v>
      </c>
      <c r="G7">
        <v>0.15</v>
      </c>
      <c r="H7">
        <v>184.03</v>
      </c>
      <c r="I7">
        <v>133.26</v>
      </c>
      <c r="J7">
        <v>52.72</v>
      </c>
      <c r="K7">
        <v>93.85</v>
      </c>
      <c r="L7">
        <v>117.21</v>
      </c>
      <c r="M7">
        <v>23.26</v>
      </c>
      <c r="Q7" t="s">
        <v>15</v>
      </c>
      <c r="R7" t="str">
        <f t="shared" si="0"/>
        <v>#BYDNR</v>
      </c>
      <c r="T7" t="str">
        <f t="shared" si="1"/>
        <v xml:space="preserve">#BYDNR </v>
      </c>
    </row>
    <row r="8" spans="1:22" x14ac:dyDescent="0.25">
      <c r="A8" t="s">
        <v>23</v>
      </c>
      <c r="B8">
        <v>31.55</v>
      </c>
      <c r="C8">
        <v>3.9</v>
      </c>
      <c r="D8">
        <v>15.72</v>
      </c>
      <c r="E8">
        <v>8.19</v>
      </c>
      <c r="F8">
        <v>1.71</v>
      </c>
      <c r="G8">
        <v>0.14000000000000001</v>
      </c>
      <c r="H8">
        <v>69.83</v>
      </c>
      <c r="I8">
        <v>110.47</v>
      </c>
      <c r="J8">
        <v>87.3</v>
      </c>
      <c r="K8">
        <v>73.069999999999993</v>
      </c>
      <c r="L8">
        <v>91.84</v>
      </c>
      <c r="M8">
        <v>519</v>
      </c>
      <c r="Q8" t="s">
        <v>15</v>
      </c>
      <c r="R8" t="str">
        <f t="shared" si="0"/>
        <v>#CCOLA</v>
      </c>
      <c r="T8" t="str">
        <f t="shared" si="1"/>
        <v xml:space="preserve">#CCOLA </v>
      </c>
    </row>
    <row r="9" spans="1:22" x14ac:dyDescent="0.25">
      <c r="A9" t="s">
        <v>24</v>
      </c>
      <c r="B9">
        <v>3.11</v>
      </c>
      <c r="C9">
        <v>1.46</v>
      </c>
      <c r="D9">
        <v>65.099999999999994</v>
      </c>
      <c r="E9">
        <v>8.8000000000000007</v>
      </c>
      <c r="F9">
        <v>0.98</v>
      </c>
      <c r="G9">
        <v>0.12</v>
      </c>
      <c r="H9">
        <v>31.73</v>
      </c>
      <c r="I9">
        <v>-83.59</v>
      </c>
      <c r="J9">
        <v>178.78</v>
      </c>
      <c r="K9">
        <v>93.08</v>
      </c>
      <c r="L9">
        <v>-51.49</v>
      </c>
      <c r="M9">
        <v>5.0199999999999996</v>
      </c>
      <c r="Q9" t="s">
        <v>15</v>
      </c>
      <c r="R9" t="str">
        <f t="shared" si="0"/>
        <v>#DARDL</v>
      </c>
      <c r="T9" t="str">
        <f t="shared" si="1"/>
        <v xml:space="preserve">#DARDL </v>
      </c>
    </row>
    <row r="10" spans="1:22" x14ac:dyDescent="0.25">
      <c r="A10" t="s">
        <v>25</v>
      </c>
      <c r="B10">
        <v>7.61</v>
      </c>
      <c r="C10">
        <v>1.7</v>
      </c>
      <c r="D10">
        <v>44.63</v>
      </c>
      <c r="E10">
        <v>19.38</v>
      </c>
      <c r="F10">
        <v>3.43</v>
      </c>
      <c r="H10">
        <v>18.829999999999998</v>
      </c>
      <c r="J10">
        <v>2980.34</v>
      </c>
      <c r="K10">
        <v>54.43</v>
      </c>
      <c r="L10">
        <v>-4134.87</v>
      </c>
      <c r="M10">
        <v>11</v>
      </c>
      <c r="Q10" t="s">
        <v>15</v>
      </c>
      <c r="R10" t="str">
        <f t="shared" si="0"/>
        <v>#DMRGD</v>
      </c>
      <c r="T10" t="str">
        <f t="shared" si="1"/>
        <v xml:space="preserve">#DMRGD </v>
      </c>
    </row>
    <row r="11" spans="1:22" x14ac:dyDescent="0.25">
      <c r="A11" t="s">
        <v>26</v>
      </c>
      <c r="B11">
        <v>35.840000000000003</v>
      </c>
      <c r="C11">
        <v>2.81</v>
      </c>
      <c r="D11">
        <v>13.12</v>
      </c>
      <c r="E11">
        <v>11.44</v>
      </c>
      <c r="F11">
        <v>0.96</v>
      </c>
      <c r="G11">
        <v>0.25</v>
      </c>
      <c r="H11">
        <v>70.05</v>
      </c>
      <c r="I11">
        <v>45.12</v>
      </c>
      <c r="J11">
        <v>-12.5</v>
      </c>
      <c r="K11">
        <v>39.950000000000003</v>
      </c>
      <c r="M11">
        <v>59.1</v>
      </c>
      <c r="Q11" t="s">
        <v>15</v>
      </c>
      <c r="R11" t="str">
        <f t="shared" si="0"/>
        <v>#EKSUN</v>
      </c>
      <c r="T11" t="str">
        <f t="shared" si="1"/>
        <v xml:space="preserve">#EKSUN </v>
      </c>
    </row>
    <row r="12" spans="1:22" x14ac:dyDescent="0.25">
      <c r="A12" t="s">
        <v>27</v>
      </c>
      <c r="B12">
        <v>54.17</v>
      </c>
      <c r="C12">
        <v>11.88</v>
      </c>
      <c r="D12">
        <v>29.9</v>
      </c>
      <c r="E12">
        <v>25.83</v>
      </c>
      <c r="F12">
        <v>10.49</v>
      </c>
      <c r="G12">
        <v>0.27</v>
      </c>
      <c r="H12">
        <v>53.11</v>
      </c>
      <c r="I12">
        <v>120.78</v>
      </c>
      <c r="J12">
        <v>55.97</v>
      </c>
      <c r="K12">
        <v>26.66</v>
      </c>
      <c r="L12">
        <v>2</v>
      </c>
      <c r="M12">
        <v>56.4</v>
      </c>
      <c r="Q12" t="s">
        <v>15</v>
      </c>
      <c r="R12" t="str">
        <f t="shared" si="0"/>
        <v>#ELITE</v>
      </c>
      <c r="T12" t="str">
        <f t="shared" si="1"/>
        <v xml:space="preserve">#ELITE </v>
      </c>
    </row>
    <row r="13" spans="1:22" x14ac:dyDescent="0.25">
      <c r="A13" t="s">
        <v>28</v>
      </c>
      <c r="B13">
        <v>48.96</v>
      </c>
      <c r="C13">
        <v>1.95</v>
      </c>
      <c r="D13">
        <v>4.97</v>
      </c>
      <c r="E13">
        <v>61.16</v>
      </c>
      <c r="F13">
        <v>5.73</v>
      </c>
      <c r="G13">
        <v>7.0000000000000007E-2</v>
      </c>
      <c r="H13">
        <v>-34.85</v>
      </c>
      <c r="I13">
        <v>53.59</v>
      </c>
      <c r="J13">
        <v>-26.71</v>
      </c>
      <c r="K13">
        <v>90.53</v>
      </c>
      <c r="L13">
        <v>-79.069999999999993</v>
      </c>
      <c r="M13">
        <v>15.21</v>
      </c>
      <c r="Q13" t="s">
        <v>15</v>
      </c>
      <c r="R13" t="str">
        <f t="shared" si="0"/>
        <v>#FADE</v>
      </c>
      <c r="T13" t="str">
        <f t="shared" si="1"/>
        <v xml:space="preserve">#FADE </v>
      </c>
    </row>
    <row r="14" spans="1:22" x14ac:dyDescent="0.25">
      <c r="A14" t="s">
        <v>29</v>
      </c>
      <c r="B14">
        <v>16.23</v>
      </c>
      <c r="C14">
        <v>2.29</v>
      </c>
      <c r="D14">
        <v>15.15</v>
      </c>
      <c r="E14">
        <v>6.65</v>
      </c>
      <c r="F14">
        <v>1.56</v>
      </c>
      <c r="G14">
        <v>42.48</v>
      </c>
      <c r="H14">
        <v>32.229999999999997</v>
      </c>
      <c r="I14">
        <v>-43.2</v>
      </c>
      <c r="J14">
        <v>-6.68</v>
      </c>
      <c r="K14">
        <v>42.97</v>
      </c>
      <c r="L14">
        <v>190.93</v>
      </c>
      <c r="M14">
        <v>6.21</v>
      </c>
      <c r="Q14" t="s">
        <v>15</v>
      </c>
      <c r="R14" t="str">
        <f t="shared" si="0"/>
        <v>#FRIGO</v>
      </c>
      <c r="T14" t="str">
        <f t="shared" si="1"/>
        <v xml:space="preserve">#FRIGO </v>
      </c>
    </row>
    <row r="15" spans="1:22" x14ac:dyDescent="0.25">
      <c r="A15" t="s">
        <v>30</v>
      </c>
      <c r="B15">
        <v>45.32</v>
      </c>
      <c r="C15">
        <v>2.7</v>
      </c>
      <c r="D15">
        <v>8.3699999999999992</v>
      </c>
      <c r="E15">
        <v>13.67</v>
      </c>
      <c r="F15">
        <v>1.67</v>
      </c>
      <c r="G15">
        <v>0.05</v>
      </c>
      <c r="H15">
        <v>28.72</v>
      </c>
      <c r="I15">
        <v>184.59</v>
      </c>
      <c r="J15">
        <v>11.93</v>
      </c>
      <c r="K15">
        <v>21.53</v>
      </c>
      <c r="L15">
        <v>269.39</v>
      </c>
      <c r="M15">
        <v>20.46</v>
      </c>
      <c r="Q15" t="s">
        <v>15</v>
      </c>
      <c r="R15" t="str">
        <f t="shared" si="0"/>
        <v>#GOKNR</v>
      </c>
      <c r="T15" t="str">
        <f t="shared" si="1"/>
        <v xml:space="preserve">#GOKNR </v>
      </c>
    </row>
    <row r="16" spans="1:22" x14ac:dyDescent="0.25">
      <c r="A16" t="s">
        <v>31</v>
      </c>
      <c r="B16">
        <v>63.48</v>
      </c>
      <c r="C16">
        <v>3.61</v>
      </c>
      <c r="D16">
        <v>11.39</v>
      </c>
      <c r="E16">
        <v>41.05</v>
      </c>
      <c r="F16">
        <v>5.29</v>
      </c>
      <c r="G16">
        <v>0.06</v>
      </c>
      <c r="H16">
        <v>17.68</v>
      </c>
      <c r="I16">
        <v>63.76</v>
      </c>
      <c r="J16">
        <v>-22.98</v>
      </c>
      <c r="K16">
        <v>96</v>
      </c>
      <c r="L16">
        <v>87.65</v>
      </c>
      <c r="M16">
        <v>49.26</v>
      </c>
      <c r="Q16" t="s">
        <v>15</v>
      </c>
      <c r="R16" t="str">
        <f t="shared" si="0"/>
        <v>#GRTRK</v>
      </c>
      <c r="T16" t="str">
        <f t="shared" si="1"/>
        <v xml:space="preserve">#GRTRK </v>
      </c>
    </row>
    <row r="17" spans="1:20" x14ac:dyDescent="0.25">
      <c r="A17" t="s">
        <v>32</v>
      </c>
      <c r="B17">
        <v>55.22</v>
      </c>
      <c r="C17">
        <v>56.98</v>
      </c>
      <c r="D17">
        <v>129.51</v>
      </c>
      <c r="E17">
        <v>79.94</v>
      </c>
      <c r="F17">
        <v>12.69</v>
      </c>
      <c r="G17">
        <v>0.55000000000000004</v>
      </c>
      <c r="H17">
        <v>74.53</v>
      </c>
      <c r="I17">
        <v>391.84</v>
      </c>
      <c r="J17">
        <v>297.37</v>
      </c>
      <c r="K17">
        <v>106.03</v>
      </c>
      <c r="L17">
        <v>-87.82</v>
      </c>
      <c r="M17">
        <v>482</v>
      </c>
      <c r="Q17" t="s">
        <v>15</v>
      </c>
      <c r="R17" t="str">
        <f t="shared" si="0"/>
        <v>#KENT</v>
      </c>
      <c r="T17" t="str">
        <f t="shared" si="1"/>
        <v xml:space="preserve">#KENT </v>
      </c>
    </row>
    <row r="18" spans="1:20" x14ac:dyDescent="0.25">
      <c r="A18" t="s">
        <v>33</v>
      </c>
      <c r="B18">
        <v>28.45</v>
      </c>
      <c r="C18">
        <v>1.86</v>
      </c>
      <c r="D18">
        <v>7.83</v>
      </c>
      <c r="E18">
        <v>4.53</v>
      </c>
      <c r="F18">
        <v>0.55000000000000004</v>
      </c>
      <c r="H18">
        <v>38.69</v>
      </c>
      <c r="I18">
        <v>-56.88</v>
      </c>
      <c r="J18">
        <v>-9.3800000000000008</v>
      </c>
      <c r="K18">
        <v>25.92</v>
      </c>
      <c r="L18">
        <v>34.89</v>
      </c>
      <c r="M18">
        <v>9.4600000000000009</v>
      </c>
      <c r="Q18" t="s">
        <v>15</v>
      </c>
      <c r="R18" t="str">
        <f t="shared" si="0"/>
        <v>#KERVT</v>
      </c>
      <c r="T18" t="str">
        <f t="shared" si="1"/>
        <v xml:space="preserve">#KERVT </v>
      </c>
    </row>
    <row r="19" spans="1:20" x14ac:dyDescent="0.25">
      <c r="A19" t="s">
        <v>34</v>
      </c>
      <c r="B19">
        <v>36.24</v>
      </c>
      <c r="C19">
        <v>5.49</v>
      </c>
      <c r="D19">
        <v>17.96</v>
      </c>
      <c r="E19">
        <v>8.83</v>
      </c>
      <c r="F19">
        <v>1.08</v>
      </c>
      <c r="G19">
        <v>7.5</v>
      </c>
      <c r="H19">
        <v>62.39</v>
      </c>
      <c r="I19">
        <v>9.52</v>
      </c>
      <c r="J19">
        <v>47.7</v>
      </c>
      <c r="K19">
        <v>34.43</v>
      </c>
      <c r="L19">
        <v>-312.73</v>
      </c>
      <c r="M19">
        <v>18.82</v>
      </c>
      <c r="Q19" t="s">
        <v>15</v>
      </c>
      <c r="R19" t="str">
        <f t="shared" si="0"/>
        <v>#KNFRT</v>
      </c>
      <c r="T19" t="str">
        <f t="shared" si="1"/>
        <v xml:space="preserve">#KNFRT </v>
      </c>
    </row>
    <row r="20" spans="1:20" x14ac:dyDescent="0.25">
      <c r="A20" t="s">
        <v>35</v>
      </c>
      <c r="B20">
        <v>24.35</v>
      </c>
      <c r="C20">
        <v>6.19</v>
      </c>
      <c r="D20">
        <v>31.54</v>
      </c>
      <c r="E20">
        <v>28.22</v>
      </c>
      <c r="F20">
        <v>2.2400000000000002</v>
      </c>
      <c r="G20">
        <v>0.17</v>
      </c>
      <c r="H20">
        <v>23.98</v>
      </c>
      <c r="I20">
        <v>152.56</v>
      </c>
      <c r="J20">
        <v>336.6</v>
      </c>
      <c r="K20">
        <v>92.08</v>
      </c>
      <c r="L20">
        <v>-562.62</v>
      </c>
      <c r="M20">
        <v>14.19</v>
      </c>
      <c r="Q20" t="s">
        <v>15</v>
      </c>
      <c r="R20" t="str">
        <f t="shared" si="0"/>
        <v>#KRSTL</v>
      </c>
      <c r="T20" t="str">
        <f t="shared" si="1"/>
        <v xml:space="preserve">#KRSTL </v>
      </c>
    </row>
    <row r="21" spans="1:20" x14ac:dyDescent="0.25">
      <c r="A21" t="s">
        <v>36</v>
      </c>
      <c r="B21">
        <v>24.28</v>
      </c>
      <c r="C21">
        <v>2.4300000000000002</v>
      </c>
      <c r="D21">
        <v>12.31</v>
      </c>
      <c r="E21">
        <v>7.19</v>
      </c>
      <c r="F21">
        <v>1.05</v>
      </c>
      <c r="G21">
        <v>0.12</v>
      </c>
      <c r="H21">
        <v>51.38</v>
      </c>
      <c r="I21">
        <v>-1.85</v>
      </c>
      <c r="J21">
        <v>67.05</v>
      </c>
      <c r="K21">
        <v>50.68</v>
      </c>
      <c r="L21">
        <v>-18.329999999999998</v>
      </c>
      <c r="M21">
        <v>20.68</v>
      </c>
      <c r="Q21" t="s">
        <v>15</v>
      </c>
      <c r="R21" t="str">
        <f t="shared" ref="R21:R33" si="2">CONCATENATE(Q21,A21)</f>
        <v>#KRVGD</v>
      </c>
      <c r="T21" t="str">
        <f t="shared" ref="T21:T33" si="3">CONCATENATE(R21," ")</f>
        <v xml:space="preserve">#KRVGD </v>
      </c>
    </row>
    <row r="22" spans="1:20" x14ac:dyDescent="0.25">
      <c r="A22" t="s">
        <v>37</v>
      </c>
      <c r="B22">
        <v>39.75</v>
      </c>
      <c r="C22">
        <v>1.86</v>
      </c>
      <c r="D22">
        <v>6.3</v>
      </c>
      <c r="E22">
        <v>10.89</v>
      </c>
      <c r="F22">
        <v>2.89</v>
      </c>
      <c r="G22">
        <v>0.06</v>
      </c>
      <c r="H22">
        <v>12.11</v>
      </c>
      <c r="I22">
        <v>15.85</v>
      </c>
      <c r="J22">
        <v>32.229999999999997</v>
      </c>
      <c r="K22">
        <v>163.54</v>
      </c>
      <c r="L22">
        <v>-8.15</v>
      </c>
      <c r="M22">
        <v>67.45</v>
      </c>
      <c r="Q22" t="s">
        <v>15</v>
      </c>
      <c r="R22" t="str">
        <f t="shared" si="2"/>
        <v>#KTSKR</v>
      </c>
      <c r="T22" t="str">
        <f t="shared" si="3"/>
        <v xml:space="preserve">#KTSKR </v>
      </c>
    </row>
    <row r="23" spans="1:20" x14ac:dyDescent="0.25">
      <c r="A23" t="s">
        <v>38</v>
      </c>
      <c r="B23">
        <v>53.17</v>
      </c>
      <c r="C23">
        <v>5.21</v>
      </c>
      <c r="D23">
        <v>19.59</v>
      </c>
      <c r="E23">
        <v>13.31</v>
      </c>
      <c r="F23">
        <v>0.88</v>
      </c>
      <c r="G23">
        <v>0.26</v>
      </c>
      <c r="H23">
        <v>75.7</v>
      </c>
      <c r="I23">
        <v>8.64</v>
      </c>
      <c r="J23">
        <v>8.66</v>
      </c>
      <c r="K23">
        <v>13.34</v>
      </c>
      <c r="L23">
        <v>-84</v>
      </c>
      <c r="M23">
        <v>44</v>
      </c>
      <c r="Q23" t="s">
        <v>15</v>
      </c>
      <c r="R23" t="str">
        <f t="shared" si="2"/>
        <v>#OFSYM</v>
      </c>
      <c r="T23" t="str">
        <f t="shared" si="3"/>
        <v xml:space="preserve">#OFSYM </v>
      </c>
    </row>
    <row r="24" spans="1:20" x14ac:dyDescent="0.25">
      <c r="A24" t="s">
        <v>39</v>
      </c>
      <c r="B24">
        <v>32.81</v>
      </c>
      <c r="C24">
        <v>2.85</v>
      </c>
      <c r="D24">
        <v>11.1</v>
      </c>
      <c r="E24">
        <v>7.51</v>
      </c>
      <c r="F24">
        <v>2.15</v>
      </c>
      <c r="G24">
        <v>0.11</v>
      </c>
      <c r="H24">
        <v>48.88</v>
      </c>
      <c r="I24">
        <v>55.97</v>
      </c>
      <c r="J24">
        <v>125.31</v>
      </c>
      <c r="K24">
        <v>59.41</v>
      </c>
      <c r="L24">
        <v>-101.35</v>
      </c>
      <c r="M24">
        <v>9.24</v>
      </c>
      <c r="Q24" t="s">
        <v>15</v>
      </c>
      <c r="R24" t="str">
        <f t="shared" si="2"/>
        <v>#ORCAY</v>
      </c>
      <c r="T24" t="str">
        <f t="shared" si="3"/>
        <v xml:space="preserve">#ORCAY </v>
      </c>
    </row>
    <row r="25" spans="1:20" x14ac:dyDescent="0.25">
      <c r="A25" t="s">
        <v>40</v>
      </c>
      <c r="B25">
        <v>46.11</v>
      </c>
      <c r="C25">
        <v>2.0699999999999998</v>
      </c>
      <c r="D25">
        <v>6.52</v>
      </c>
      <c r="E25">
        <v>8.34</v>
      </c>
      <c r="F25">
        <v>1.73</v>
      </c>
      <c r="G25">
        <v>0.01</v>
      </c>
      <c r="H25">
        <v>33.630000000000003</v>
      </c>
      <c r="I25">
        <v>447.91</v>
      </c>
      <c r="J25">
        <v>462.94</v>
      </c>
      <c r="K25">
        <v>69.05</v>
      </c>
      <c r="L25">
        <v>-226.48</v>
      </c>
      <c r="M25">
        <v>8.23</v>
      </c>
      <c r="Q25" t="s">
        <v>15</v>
      </c>
      <c r="R25" t="str">
        <f t="shared" si="2"/>
        <v>#OYLUM</v>
      </c>
      <c r="T25" t="str">
        <f t="shared" si="3"/>
        <v xml:space="preserve">#OYLUM </v>
      </c>
    </row>
    <row r="26" spans="1:20" x14ac:dyDescent="0.25">
      <c r="A26" t="s">
        <v>41</v>
      </c>
      <c r="B26">
        <v>4.5599999999999996</v>
      </c>
      <c r="C26">
        <v>0.73</v>
      </c>
      <c r="D26">
        <v>22.23</v>
      </c>
      <c r="E26">
        <v>14.23</v>
      </c>
      <c r="F26">
        <v>1.46</v>
      </c>
      <c r="G26">
        <v>681.17</v>
      </c>
      <c r="H26">
        <v>9.27</v>
      </c>
      <c r="J26">
        <v>-22.31</v>
      </c>
      <c r="K26">
        <v>47.1</v>
      </c>
      <c r="L26">
        <v>-149.61000000000001</v>
      </c>
      <c r="M26">
        <v>6</v>
      </c>
      <c r="Q26" t="s">
        <v>15</v>
      </c>
      <c r="R26" t="str">
        <f t="shared" si="2"/>
        <v>#PENGD</v>
      </c>
      <c r="T26" t="str">
        <f t="shared" si="3"/>
        <v xml:space="preserve">#PENGD </v>
      </c>
    </row>
    <row r="27" spans="1:20" x14ac:dyDescent="0.25">
      <c r="A27" t="s">
        <v>42</v>
      </c>
      <c r="B27">
        <v>14.76</v>
      </c>
      <c r="C27">
        <v>1.02</v>
      </c>
      <c r="D27">
        <v>9.5</v>
      </c>
      <c r="E27">
        <v>10.8</v>
      </c>
      <c r="F27">
        <v>1</v>
      </c>
      <c r="G27">
        <v>0.18</v>
      </c>
      <c r="H27">
        <v>16.5</v>
      </c>
      <c r="I27">
        <v>-8.84</v>
      </c>
      <c r="J27">
        <v>47.03</v>
      </c>
      <c r="K27">
        <v>86.91</v>
      </c>
      <c r="L27">
        <v>-150.09</v>
      </c>
      <c r="M27">
        <v>68.75</v>
      </c>
      <c r="Q27" t="s">
        <v>15</v>
      </c>
      <c r="R27" t="str">
        <f t="shared" si="2"/>
        <v>#PETUN</v>
      </c>
      <c r="T27" t="str">
        <f t="shared" si="3"/>
        <v xml:space="preserve">#PETUN </v>
      </c>
    </row>
    <row r="28" spans="1:20" x14ac:dyDescent="0.25">
      <c r="A28" t="s">
        <v>43</v>
      </c>
      <c r="B28">
        <v>-7.23</v>
      </c>
      <c r="C28">
        <v>3.44</v>
      </c>
      <c r="E28">
        <v>11.05</v>
      </c>
      <c r="F28">
        <v>1.74</v>
      </c>
      <c r="G28">
        <v>0.93</v>
      </c>
      <c r="H28">
        <v>26.37</v>
      </c>
      <c r="J28">
        <v>152.11000000000001</v>
      </c>
      <c r="K28">
        <v>64.44</v>
      </c>
      <c r="L28">
        <v>192.51</v>
      </c>
      <c r="M28">
        <v>13.17</v>
      </c>
      <c r="Q28" t="s">
        <v>15</v>
      </c>
      <c r="R28" t="str">
        <f t="shared" si="2"/>
        <v>#PINSU</v>
      </c>
      <c r="T28" t="str">
        <f t="shared" si="3"/>
        <v xml:space="preserve">#PINSU </v>
      </c>
    </row>
    <row r="29" spans="1:20" x14ac:dyDescent="0.25">
      <c r="A29" t="s">
        <v>44</v>
      </c>
      <c r="B29">
        <v>10.55</v>
      </c>
      <c r="C29">
        <v>0.79</v>
      </c>
      <c r="D29">
        <v>9.64</v>
      </c>
      <c r="E29">
        <v>15.14</v>
      </c>
      <c r="F29">
        <v>0.68</v>
      </c>
      <c r="G29">
        <v>1.1299999999999999</v>
      </c>
      <c r="H29">
        <v>13.48</v>
      </c>
      <c r="I29">
        <v>-26.8</v>
      </c>
      <c r="J29">
        <v>-12.81</v>
      </c>
      <c r="K29">
        <v>49.6</v>
      </c>
      <c r="L29">
        <v>517.59</v>
      </c>
      <c r="M29">
        <v>69.5</v>
      </c>
      <c r="Q29" t="s">
        <v>15</v>
      </c>
      <c r="R29" t="str">
        <f t="shared" si="2"/>
        <v>#PNSUT</v>
      </c>
      <c r="T29" t="str">
        <f t="shared" si="3"/>
        <v xml:space="preserve">#PNSUT </v>
      </c>
    </row>
    <row r="30" spans="1:20" x14ac:dyDescent="0.25">
      <c r="A30" t="s">
        <v>45</v>
      </c>
      <c r="B30">
        <v>22.16</v>
      </c>
      <c r="C30">
        <v>1.76</v>
      </c>
      <c r="D30">
        <v>10.55</v>
      </c>
      <c r="E30">
        <v>11.04</v>
      </c>
      <c r="F30">
        <v>1.1499999999999999</v>
      </c>
      <c r="G30">
        <v>0.05</v>
      </c>
      <c r="H30">
        <v>27.82</v>
      </c>
      <c r="I30">
        <v>11.48</v>
      </c>
      <c r="J30">
        <v>15.71</v>
      </c>
      <c r="K30">
        <v>69.25</v>
      </c>
      <c r="L30">
        <v>-56.62</v>
      </c>
      <c r="M30">
        <v>11.24</v>
      </c>
      <c r="Q30" t="s">
        <v>15</v>
      </c>
      <c r="R30" t="str">
        <f t="shared" si="2"/>
        <v>#SELVA</v>
      </c>
      <c r="T30" t="str">
        <f t="shared" si="3"/>
        <v xml:space="preserve">#SELVA </v>
      </c>
    </row>
    <row r="31" spans="1:20" x14ac:dyDescent="0.25">
      <c r="A31" t="s">
        <v>46</v>
      </c>
      <c r="B31">
        <v>132.68</v>
      </c>
      <c r="C31">
        <v>12.08</v>
      </c>
      <c r="D31">
        <v>18.21</v>
      </c>
      <c r="E31">
        <v>12.52</v>
      </c>
      <c r="F31">
        <v>2.06</v>
      </c>
      <c r="G31">
        <v>0.03</v>
      </c>
      <c r="H31">
        <v>297.11</v>
      </c>
      <c r="I31">
        <v>511.32</v>
      </c>
      <c r="J31">
        <v>203.63</v>
      </c>
      <c r="K31">
        <v>104.13</v>
      </c>
      <c r="L31">
        <v>135.69999999999999</v>
      </c>
      <c r="M31">
        <v>112.7</v>
      </c>
      <c r="Q31" t="s">
        <v>15</v>
      </c>
      <c r="R31" t="str">
        <f t="shared" si="2"/>
        <v>#TABGD</v>
      </c>
      <c r="T31" t="str">
        <f t="shared" si="3"/>
        <v xml:space="preserve">#TABGD </v>
      </c>
    </row>
    <row r="32" spans="1:20" x14ac:dyDescent="0.25">
      <c r="A32" t="s">
        <v>47</v>
      </c>
      <c r="B32">
        <v>23.22</v>
      </c>
      <c r="C32">
        <v>4.0199999999999996</v>
      </c>
      <c r="D32">
        <v>18.489999999999998</v>
      </c>
      <c r="E32">
        <v>12.94</v>
      </c>
      <c r="F32">
        <v>1.66</v>
      </c>
      <c r="H32">
        <v>34.14</v>
      </c>
      <c r="I32">
        <v>-14.42</v>
      </c>
      <c r="J32">
        <v>48.25</v>
      </c>
      <c r="K32">
        <v>86.81</v>
      </c>
      <c r="L32">
        <v>-179.66</v>
      </c>
      <c r="M32">
        <v>35.68</v>
      </c>
      <c r="Q32" t="s">
        <v>15</v>
      </c>
      <c r="R32" t="str">
        <f t="shared" si="2"/>
        <v>#TATGD</v>
      </c>
      <c r="T32" t="str">
        <f t="shared" si="3"/>
        <v xml:space="preserve">#TATGD </v>
      </c>
    </row>
    <row r="33" spans="1:20" x14ac:dyDescent="0.25">
      <c r="A33" t="s">
        <v>48</v>
      </c>
      <c r="B33">
        <v>65.290000000000006</v>
      </c>
      <c r="C33">
        <v>3.4</v>
      </c>
      <c r="D33">
        <v>6.9</v>
      </c>
      <c r="E33">
        <v>5.23</v>
      </c>
      <c r="F33">
        <v>1.7</v>
      </c>
      <c r="G33">
        <v>0.09</v>
      </c>
      <c r="H33">
        <v>243.01</v>
      </c>
      <c r="I33">
        <v>97.83</v>
      </c>
      <c r="J33">
        <v>102.11</v>
      </c>
      <c r="K33">
        <v>75.33</v>
      </c>
      <c r="L33">
        <v>91.93</v>
      </c>
      <c r="M33">
        <v>71.2</v>
      </c>
      <c r="Q33" t="s">
        <v>15</v>
      </c>
      <c r="R33" t="str">
        <f t="shared" si="2"/>
        <v>#TBORG</v>
      </c>
      <c r="T33" t="str">
        <f t="shared" si="3"/>
        <v xml:space="preserve">#TBORG </v>
      </c>
    </row>
    <row r="34" spans="1:20" x14ac:dyDescent="0.25">
      <c r="A34" t="s">
        <v>49</v>
      </c>
      <c r="B34">
        <v>55.24</v>
      </c>
      <c r="C34">
        <v>3.27</v>
      </c>
      <c r="D34">
        <v>7.55</v>
      </c>
      <c r="E34">
        <v>8.06</v>
      </c>
      <c r="F34">
        <v>2.0699999999999998</v>
      </c>
      <c r="G34">
        <v>0.4</v>
      </c>
      <c r="H34">
        <v>56.31</v>
      </c>
      <c r="I34">
        <v>-2.02</v>
      </c>
      <c r="J34">
        <v>-12.36</v>
      </c>
      <c r="K34">
        <v>41.08</v>
      </c>
      <c r="L34">
        <v>7059.58</v>
      </c>
      <c r="M34">
        <v>6.94</v>
      </c>
    </row>
    <row r="35" spans="1:20" x14ac:dyDescent="0.25">
      <c r="A35" t="s">
        <v>50</v>
      </c>
      <c r="B35">
        <v>28.25</v>
      </c>
      <c r="C35">
        <v>3.31</v>
      </c>
      <c r="D35">
        <v>17.93</v>
      </c>
      <c r="E35">
        <v>5.52</v>
      </c>
      <c r="F35">
        <v>1.18</v>
      </c>
      <c r="H35">
        <v>68.52</v>
      </c>
      <c r="J35">
        <v>90.69</v>
      </c>
      <c r="K35">
        <v>67.02</v>
      </c>
      <c r="L35">
        <v>570.17999999999995</v>
      </c>
      <c r="M35">
        <v>79.75</v>
      </c>
    </row>
    <row r="36" spans="1:20" x14ac:dyDescent="0.25">
      <c r="A36" t="s">
        <v>51</v>
      </c>
      <c r="B36">
        <v>12.38</v>
      </c>
      <c r="C36">
        <v>1.31</v>
      </c>
      <c r="D36">
        <v>14.78</v>
      </c>
      <c r="E36">
        <v>8.9</v>
      </c>
      <c r="F36">
        <v>0.25</v>
      </c>
      <c r="H36">
        <v>25.05</v>
      </c>
      <c r="I36">
        <v>-55.12</v>
      </c>
      <c r="J36">
        <v>-30.17</v>
      </c>
      <c r="K36">
        <v>75.540000000000006</v>
      </c>
      <c r="L36">
        <v>-43.05</v>
      </c>
      <c r="M36">
        <v>26.18</v>
      </c>
    </row>
    <row r="37" spans="1:20" x14ac:dyDescent="0.25">
      <c r="A37" t="s">
        <v>52</v>
      </c>
      <c r="B37">
        <v>52.56</v>
      </c>
      <c r="C37">
        <v>4.71</v>
      </c>
      <c r="D37">
        <v>11.32</v>
      </c>
      <c r="F37">
        <v>5.7</v>
      </c>
      <c r="G37">
        <v>7.0000000000000007E-2</v>
      </c>
      <c r="H37">
        <v>-93.07</v>
      </c>
      <c r="K37">
        <v>234.86</v>
      </c>
      <c r="L37">
        <v>-59.42</v>
      </c>
      <c r="M37">
        <v>16.600000000000001</v>
      </c>
    </row>
    <row r="38" spans="1:20" x14ac:dyDescent="0.25">
      <c r="A38" t="s">
        <v>53</v>
      </c>
      <c r="B38">
        <v>50.76</v>
      </c>
      <c r="C38">
        <v>3.81</v>
      </c>
      <c r="D38">
        <v>9.39</v>
      </c>
      <c r="E38">
        <v>14.21</v>
      </c>
      <c r="F38">
        <v>1.39</v>
      </c>
      <c r="G38">
        <v>0.24</v>
      </c>
      <c r="H38">
        <v>42.48</v>
      </c>
      <c r="I38">
        <v>60.86</v>
      </c>
      <c r="J38">
        <v>-4.3099999999999996</v>
      </c>
      <c r="K38">
        <v>14.72</v>
      </c>
      <c r="L38">
        <v>229.58</v>
      </c>
      <c r="M38">
        <v>12.74</v>
      </c>
    </row>
  </sheetData>
  <pageMargins left="0.7" right="0.7" top="0.75" bottom="0.75" header="0.3" footer="0.3"/>
  <ignoredErrors>
    <ignoredError sqref="A1:L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F16D0-6FCA-438D-A857-20DA5A6B22F9}">
  <sheetPr>
    <pageSetUpPr fitToPage="1"/>
  </sheetPr>
  <dimension ref="B1:AF138"/>
  <sheetViews>
    <sheetView showGridLines="0" tabSelected="1" topLeftCell="B11" zoomScale="85" zoomScaleNormal="85" workbookViewId="0">
      <selection activeCell="AF25" sqref="AF25"/>
    </sheetView>
  </sheetViews>
  <sheetFormatPr defaultColWidth="9" defaultRowHeight="21" customHeight="1" x14ac:dyDescent="0.25"/>
  <cols>
    <col min="1" max="1" width="2.5" style="5" customWidth="1"/>
    <col min="2" max="2" width="9" style="13"/>
    <col min="3" max="3" width="12.75" style="3" customWidth="1"/>
    <col min="4" max="8" width="12.75" style="2" customWidth="1"/>
    <col min="9" max="9" width="12.75" style="3" customWidth="1"/>
    <col min="10" max="12" width="12.75" style="2" customWidth="1"/>
    <col min="13" max="13" width="1.75" style="5" customWidth="1"/>
    <col min="14" max="14" width="12.125" style="16" customWidth="1"/>
    <col min="15" max="15" width="6.375" style="5" customWidth="1"/>
    <col min="16" max="18" width="9" style="5" customWidth="1"/>
    <col min="19" max="19" width="2.875" style="5" customWidth="1"/>
    <col min="20" max="20" width="9" style="24"/>
    <col min="21" max="21" width="7" style="2" customWidth="1"/>
    <col min="22" max="23" width="6.625" style="2" customWidth="1"/>
    <col min="24" max="30" width="6.625" style="10" customWidth="1"/>
    <col min="31" max="31" width="1.625" style="5" customWidth="1"/>
    <col min="32" max="16384" width="9" style="5"/>
  </cols>
  <sheetData>
    <row r="1" spans="2:32" ht="21" customHeight="1" thickBot="1" x14ac:dyDescent="0.3"/>
    <row r="2" spans="2:32" s="4" customFormat="1" ht="47.25" customHeight="1" thickTop="1" thickBot="1" x14ac:dyDescent="0.3">
      <c r="B2" s="19" t="s">
        <v>0</v>
      </c>
      <c r="C2" s="20" t="s">
        <v>1</v>
      </c>
      <c r="D2" s="21" t="s">
        <v>2</v>
      </c>
      <c r="E2" s="21" t="s">
        <v>3</v>
      </c>
      <c r="F2" s="21" t="s">
        <v>4</v>
      </c>
      <c r="G2" s="21" t="s">
        <v>5</v>
      </c>
      <c r="H2" s="21" t="s">
        <v>6</v>
      </c>
      <c r="I2" s="20" t="s">
        <v>7</v>
      </c>
      <c r="J2" s="21" t="s">
        <v>8</v>
      </c>
      <c r="K2" s="21" t="s">
        <v>9</v>
      </c>
      <c r="L2" s="21" t="s">
        <v>10</v>
      </c>
      <c r="M2" s="18"/>
      <c r="N2" s="21" t="s">
        <v>14</v>
      </c>
      <c r="R2" s="4" t="s">
        <v>12</v>
      </c>
      <c r="T2" s="25">
        <f>AVERAGE(T3:T123)</f>
        <v>22.282799917674872</v>
      </c>
      <c r="U2" s="1" t="s">
        <v>1</v>
      </c>
      <c r="V2" s="1" t="s">
        <v>2</v>
      </c>
      <c r="W2" s="1" t="s">
        <v>3</v>
      </c>
      <c r="X2" s="10" t="s">
        <v>4</v>
      </c>
      <c r="Y2" s="10" t="s">
        <v>5</v>
      </c>
      <c r="Z2" s="10" t="s">
        <v>6</v>
      </c>
      <c r="AA2" s="10" t="s">
        <v>7</v>
      </c>
      <c r="AB2" s="10" t="s">
        <v>8</v>
      </c>
      <c r="AC2" s="10" t="s">
        <v>9</v>
      </c>
      <c r="AD2" s="10" t="s">
        <v>10</v>
      </c>
    </row>
    <row r="3" spans="2:32" ht="21.95" customHeight="1" thickTop="1" thickBot="1" x14ac:dyDescent="0.3">
      <c r="B3" s="14" t="str">
        <f>+data!A2</f>
        <v>AEFES</v>
      </c>
      <c r="C3" s="11">
        <f>+data!B2/100</f>
        <v>0.24429999999999999</v>
      </c>
      <c r="D3" s="12">
        <f>IF(data!C2&lt;0,"",data!C2)</f>
        <v>2.04</v>
      </c>
      <c r="E3" s="12">
        <f>IF(data!D2="","",data!D2)</f>
        <v>9.65</v>
      </c>
      <c r="F3" s="12">
        <f>IF(data!E2="","",data!E2)</f>
        <v>3.23</v>
      </c>
      <c r="G3" s="12">
        <f>IF(data!F2="","",data!F2)</f>
        <v>0.66</v>
      </c>
      <c r="H3" s="12">
        <f>IF(data!G2="","",data!G2)</f>
        <v>0.06</v>
      </c>
      <c r="I3" s="11">
        <f>IF(data!H2/100="","",data!H2/100)</f>
        <v>1.2536</v>
      </c>
      <c r="J3" s="11">
        <f>IF(data!I2/100=0,"",data!I2/100)</f>
        <v>1.3736000000000002</v>
      </c>
      <c r="K3" s="11">
        <f>IF(data!J2/100="","",data!J2/100)</f>
        <v>0.82150000000000001</v>
      </c>
      <c r="L3" s="11">
        <f>IF(data!K2/100="","",data!K2/100)</f>
        <v>0.65060000000000007</v>
      </c>
      <c r="N3" s="17">
        <f>(AF3-data!M2)/AF3</f>
        <v>-0.27696793002915449</v>
      </c>
      <c r="Q3" s="7" t="s">
        <v>10</v>
      </c>
      <c r="R3" s="5">
        <f>AVERAGE(Tablo1[Yıllık Satışlar Değişimi])</f>
        <v>0.71484864864864861</v>
      </c>
      <c r="T3" s="26">
        <f>SUM(U3:AD3)</f>
        <v>34.092705812843803</v>
      </c>
      <c r="U3" s="10">
        <f>IF(Tablo1[[#This Row],[Özkaynak Karlılığı]]&lt;0,0,(Tablo1[[#This Row],[Özkaynak Karlılığı]]/MAX(Tablo1[Özkaynak Karlılığı]))*10)</f>
        <v>1.841272233946337</v>
      </c>
      <c r="V3" s="10">
        <f>(MIN(Tablo1[PD/DD])/Tablo1[[#This Row],[PD/DD]])*10</f>
        <v>3.5784313725490198</v>
      </c>
      <c r="W3" s="10">
        <f>IFERROR((MIN(Tablo1[F/K])/Tablo1[[#This Row],[F/K]])*10,"")</f>
        <v>5.1502590673575117</v>
      </c>
      <c r="X3" s="10">
        <f>IFERROR((MIN(Tablo1[FD/FAVÖK])/Tablo1[[#This Row],[FD/FAVÖK]])*10,"")</f>
        <v>10</v>
      </c>
      <c r="Y3" s="10">
        <f>IFERROR((MIN(Tablo1[FD/Satış])/Tablo1[[#This Row],[FD/Satış]])*10,"")</f>
        <v>3.7878787878787881</v>
      </c>
      <c r="Z3" s="10">
        <f>IFERROR((MIN(Tablo1[PEG])/Tablo1[[#This Row],[PEG]])*10,"")</f>
        <v>1.666666666666667</v>
      </c>
      <c r="AA3" s="10">
        <f>(Tablo1[[#This Row],[ROIC]]/MAX(Tablo1[ROIC]))*10</f>
        <v>2.336016696481813</v>
      </c>
      <c r="AB3" s="10">
        <f>IFERROR(IF(Tablo1[[#This Row],[Yıllık Net Kar Değişimi]]&lt;0,0,(Tablo1[[#This Row],[Yıllık Net Kar Değişimi]]/MAX(Tablo1[Yıllık Net Kar Değişimi]))*10),"")</f>
        <v>2.686380348900884</v>
      </c>
      <c r="AC3" s="10">
        <f>IFERROR(IF(Tablo1[[#This Row],[Yıllık FAVÖK Değişimi]]&lt;0,0,(Tablo1[[#This Row],[Yıllık FAVÖK Değişimi]]/MAX(Tablo1[Yıllık FAVÖK Değişimi]))*10),"")</f>
        <v>0.27563969211566464</v>
      </c>
      <c r="AD3" s="10">
        <f>IFERROR(IF(Tablo1[[#This Row],[Yıllık Satışlar Değişimi]]&lt;0,0,(Tablo1[[#This Row],[Yıllık Satışlar Değişimi]]/MAX(Tablo1[Yıllık Satışlar Değişimi]))*10),"")</f>
        <v>2.7701609469471173</v>
      </c>
      <c r="AF3" s="5">
        <f>SUMIFS([1]!Tablo1[Hisse Fiyatı],[1]!Tablo1[Hisse],Tablo1[[#This Row],[Şirket]],[1]!Tablo1[Dönem],$R$2)</f>
        <v>102.9</v>
      </c>
    </row>
    <row r="4" spans="2:32" ht="21.95" customHeight="1" thickTop="1" thickBot="1" x14ac:dyDescent="0.3">
      <c r="B4" s="15" t="str">
        <f>+data!A3</f>
        <v>ATAKP</v>
      </c>
      <c r="C4" s="6">
        <f>+data!B3/100</f>
        <v>0.48869999999999997</v>
      </c>
      <c r="D4" s="8">
        <f>IF(data!C3&lt;0,"",data!C3)</f>
        <v>3.32</v>
      </c>
      <c r="E4" s="8">
        <f>IF(data!D3="","",data!D3)</f>
        <v>13.58</v>
      </c>
      <c r="F4" s="8">
        <f>IF(data!E3="","",data!E3)</f>
        <v>8.42</v>
      </c>
      <c r="G4" s="8">
        <f>IF(data!F3="","",data!F3)</f>
        <v>3.41</v>
      </c>
      <c r="H4" s="8">
        <f>IF(data!G3="","",data!G3)</f>
        <v>0.18</v>
      </c>
      <c r="I4" s="6">
        <f>IF(data!H3/100="","",data!H3/100)</f>
        <v>1.2933000000000001</v>
      </c>
      <c r="J4" s="6">
        <f>IF(data!I3/100=0,"",data!I3/100)</f>
        <v>0.10490000000000001</v>
      </c>
      <c r="K4" s="6">
        <f>IF(data!J3/100="","",data!J3/100)</f>
        <v>0.74280000000000002</v>
      </c>
      <c r="L4" s="6">
        <f>IF(data!K3/100="","",data!K3/100)</f>
        <v>1.0656000000000001</v>
      </c>
      <c r="N4" s="17">
        <f>(AF4-data!M3)/AF4</f>
        <v>0.14275161588180973</v>
      </c>
      <c r="Q4" s="7" t="s">
        <v>9</v>
      </c>
      <c r="R4" s="5">
        <f>AVERAGE(Tablo1[Yıllık FAVÖK Değişimi])</f>
        <v>1.5810324324324321</v>
      </c>
      <c r="T4" s="27">
        <f t="shared" ref="T4:T10" si="0">SUM(U4:AD4)</f>
        <v>22.068240256361683</v>
      </c>
      <c r="U4" s="10">
        <f>IF(Tablo1[[#This Row],[Özkaynak Karlılığı]]&lt;0,0,(Tablo1[[#This Row],[Özkaynak Karlılığı]]/MAX(Tablo1[Özkaynak Karlılığı]))*10)</f>
        <v>3.6832981609888451</v>
      </c>
      <c r="V4" s="10">
        <f>(MIN(Tablo1[PD/DD])/Tablo1[[#This Row],[PD/DD]])*10</f>
        <v>2.1987951807228918</v>
      </c>
      <c r="W4" s="10">
        <f>IFERROR((MIN(Tablo1[F/K])/Tablo1[[#This Row],[F/K]])*10,"")</f>
        <v>3.6597938144329896</v>
      </c>
      <c r="X4" s="10">
        <f>IFERROR((MIN(Tablo1[FD/FAVÖK])/Tablo1[[#This Row],[FD/FAVÖK]])*10,"")</f>
        <v>3.8361045130641331</v>
      </c>
      <c r="Y4" s="10">
        <f>IFERROR((MIN(Tablo1[FD/Satış])/Tablo1[[#This Row],[FD/Satış]])*10,"")</f>
        <v>0.73313782991202336</v>
      </c>
      <c r="Z4" s="10">
        <f>IFERROR((MIN(Tablo1[PEG])/Tablo1[[#This Row],[PEG]])*10,"")</f>
        <v>0.55555555555555558</v>
      </c>
      <c r="AA4" s="10">
        <f>(Tablo1[[#This Row],[ROIC]]/MAX(Tablo1[ROIC]))*10</f>
        <v>2.4099955277280865</v>
      </c>
      <c r="AB4" s="10">
        <f>IFERROR(IF(Tablo1[[#This Row],[Yıllık Net Kar Değişimi]]&lt;0,0,(Tablo1[[#This Row],[Yıllık Net Kar Değişimi]]/MAX(Tablo1[Yıllık Net Kar Değişimi]))*10),"")</f>
        <v>0.20515528436204333</v>
      </c>
      <c r="AC4" s="10">
        <f>IFERROR(IF(Tablo1[[#This Row],[Yıllık FAVÖK Değişimi]]&lt;0,0,(Tablo1[[#This Row],[Yıllık FAVÖK Değişimi]]/MAX(Tablo1[Yıllık FAVÖK Değişimi]))*10),"")</f>
        <v>0.2492333089513277</v>
      </c>
      <c r="AD4" s="10">
        <f>IFERROR(IF(Tablo1[[#This Row],[Yıllık Satışlar Değişimi]]&lt;0,0,(Tablo1[[#This Row],[Yıllık Satışlar Değişimi]]/MAX(Tablo1[Yıllık Satışlar Değişimi]))*10),"")</f>
        <v>4.5371710806437875</v>
      </c>
      <c r="AF4" s="28">
        <v>54.15</v>
      </c>
    </row>
    <row r="5" spans="2:32" ht="21.95" customHeight="1" thickTop="1" thickBot="1" x14ac:dyDescent="0.3">
      <c r="B5" s="15" t="str">
        <f>+data!A4</f>
        <v>AVOD</v>
      </c>
      <c r="C5" s="6">
        <f>+data!B4/100</f>
        <v>0.19059999999999999</v>
      </c>
      <c r="D5" s="8">
        <f>IF(data!C4&lt;0,"",data!C4)</f>
        <v>1.86</v>
      </c>
      <c r="E5" s="8">
        <f>IF(data!D4="","",data!D4)</f>
        <v>10.76</v>
      </c>
      <c r="F5" s="8">
        <f>IF(data!E4="","",data!E4)</f>
        <v>12.34</v>
      </c>
      <c r="G5" s="8">
        <f>IF(data!F4="","",data!F4)</f>
        <v>1.33</v>
      </c>
      <c r="H5" s="8">
        <f>IF(data!G4="","",data!G4)</f>
        <v>0.73</v>
      </c>
      <c r="I5" s="6">
        <f>IF(data!H4/100="","",data!H4/100)</f>
        <v>0.29730000000000001</v>
      </c>
      <c r="J5" s="6">
        <f>IF(data!I4/100=0,"",data!I4/100)</f>
        <v>-0.73419999999999996</v>
      </c>
      <c r="K5" s="6">
        <f>IF(data!J4/100="","",data!J4/100)</f>
        <v>-9.7299999999999998E-2</v>
      </c>
      <c r="L5" s="6">
        <f>IF(data!K4/100="","",data!K4/100)</f>
        <v>0.54890000000000005</v>
      </c>
      <c r="N5" s="17">
        <f>(AF5-data!M4)/AF5</f>
        <v>0.21867321867321868</v>
      </c>
      <c r="Q5" s="7" t="s">
        <v>8</v>
      </c>
      <c r="R5" s="5">
        <f>AVERAGE(Tablo1[Yıllık Net Kar Değişimi])</f>
        <v>0.77926774193548376</v>
      </c>
      <c r="T5" s="27">
        <f t="shared" si="0"/>
        <v>17.505558634419778</v>
      </c>
      <c r="U5" s="10">
        <f>IF(Tablo1[[#This Row],[Özkaynak Karlılığı]]&lt;0,0,(Tablo1[[#This Row],[Özkaynak Karlılığı]]/MAX(Tablo1[Özkaynak Karlılığı]))*10)</f>
        <v>1.4365390413023815</v>
      </c>
      <c r="V5" s="10">
        <f>(MIN(Tablo1[PD/DD])/Tablo1[[#This Row],[PD/DD]])*10</f>
        <v>3.924731182795699</v>
      </c>
      <c r="W5" s="10">
        <f>IFERROR((MIN(Tablo1[F/K])/Tablo1[[#This Row],[F/K]])*10,"")</f>
        <v>4.6189591078066909</v>
      </c>
      <c r="X5" s="10">
        <f>IFERROR((MIN(Tablo1[FD/FAVÖK])/Tablo1[[#This Row],[FD/FAVÖK]])*10,"")</f>
        <v>2.6175040518638575</v>
      </c>
      <c r="Y5" s="10">
        <f>IFERROR((MIN(Tablo1[FD/Satış])/Tablo1[[#This Row],[FD/Satış]])*10,"")</f>
        <v>1.8796992481203008</v>
      </c>
      <c r="Z5" s="10">
        <f>IFERROR((MIN(Tablo1[PEG])/Tablo1[[#This Row],[PEG]])*10,"")</f>
        <v>0.13698630136986303</v>
      </c>
      <c r="AA5" s="10">
        <f>(Tablo1[[#This Row],[ROIC]]/MAX(Tablo1[ROIC]))*10</f>
        <v>0.55400268336314851</v>
      </c>
      <c r="AB5" s="10">
        <f>IFERROR(IF(Tablo1[[#This Row],[Yıllık Net Kar Değişimi]]&lt;0,0,(Tablo1[[#This Row],[Yıllık Net Kar Değişimi]]/MAX(Tablo1[Yıllık Net Kar Değişimi]))*10),"")</f>
        <v>0</v>
      </c>
      <c r="AC5" s="10">
        <f>IFERROR(IF(Tablo1[[#This Row],[Yıllık FAVÖK Değişimi]]&lt;0,0,(Tablo1[[#This Row],[Yıllık FAVÖK Değişimi]]/MAX(Tablo1[Yıllık FAVÖK Değişimi]))*10),"")</f>
        <v>0</v>
      </c>
      <c r="AD5" s="10">
        <f>IFERROR(IF(Tablo1[[#This Row],[Yıllık Satışlar Değişimi]]&lt;0,0,(Tablo1[[#This Row],[Yıllık Satışlar Değişimi]]/MAX(Tablo1[Yıllık Satışlar Değişimi]))*10),"")</f>
        <v>2.3371370177978372</v>
      </c>
      <c r="AF5" s="5">
        <f>SUMIFS([1]!Tablo1[Hisse Fiyatı],[1]!Tablo1[Hisse],Tablo1[[#This Row],[Şirket]],[1]!Tablo1[Dönem],$R$2)</f>
        <v>4.07</v>
      </c>
    </row>
    <row r="6" spans="2:32" ht="21.95" customHeight="1" thickTop="1" thickBot="1" x14ac:dyDescent="0.3">
      <c r="B6" s="15" t="str">
        <f>+data!A5</f>
        <v>BANVT</v>
      </c>
      <c r="C6" s="6">
        <f>+data!B5/100</f>
        <v>-1.24E-2</v>
      </c>
      <c r="D6" s="8">
        <f>IF(data!C5&lt;0,"",data!C5)</f>
        <v>3.9</v>
      </c>
      <c r="E6" s="8" t="str">
        <f>IF(data!D5="","",data!D5)</f>
        <v/>
      </c>
      <c r="F6" s="8">
        <f>IF(data!E5="","",data!E5)</f>
        <v>6.83</v>
      </c>
      <c r="G6" s="8">
        <f>IF(data!F5="","",data!F5)</f>
        <v>0.74</v>
      </c>
      <c r="H6" s="8">
        <f>IF(data!G5="","",data!G5)</f>
        <v>4.83</v>
      </c>
      <c r="I6" s="6">
        <f>IF(data!H5/100="","",data!H5/100)</f>
        <v>0.66390000000000005</v>
      </c>
      <c r="J6" s="6" t="str">
        <f>IF(data!I5/100=0,"",data!I5/100)</f>
        <v/>
      </c>
      <c r="K6" s="6">
        <f>IF(data!J5/100="","",data!J5/100)</f>
        <v>3.7121</v>
      </c>
      <c r="L6" s="6">
        <f>IF(data!K5/100="","",data!K5/100)</f>
        <v>0.51490000000000002</v>
      </c>
      <c r="N6" s="17">
        <f>(AF6-data!M5)/AF6</f>
        <v>0.14814814814814814</v>
      </c>
      <c r="Q6" s="7" t="s">
        <v>7</v>
      </c>
      <c r="R6" s="5">
        <f>AVERAGE(Tablo1[ROIC])</f>
        <v>0.68840270270270276</v>
      </c>
      <c r="T6" s="27">
        <f t="shared" si="0"/>
        <v>14.675054522257179</v>
      </c>
      <c r="U6" s="10">
        <f>IF(Tablo1[[#This Row],[Özkaynak Karlılığı]]&lt;0,0,(Tablo1[[#This Row],[Özkaynak Karlılığı]]/MAX(Tablo1[Özkaynak Karlılığı]))*10)</f>
        <v>0</v>
      </c>
      <c r="V6" s="10">
        <f>(MIN(Tablo1[PD/DD])/Tablo1[[#This Row],[PD/DD]])*10</f>
        <v>1.8717948717948718</v>
      </c>
      <c r="W6" s="10" t="str">
        <f>IFERROR((MIN(Tablo1[F/K])/Tablo1[[#This Row],[F/K]])*10,"")</f>
        <v/>
      </c>
      <c r="X6" s="10">
        <f>IFERROR((MIN(Tablo1[FD/FAVÖK])/Tablo1[[#This Row],[FD/FAVÖK]])*10,"")</f>
        <v>4.7291361639824299</v>
      </c>
      <c r="Y6" s="10">
        <f>IFERROR((MIN(Tablo1[FD/Satış])/Tablo1[[#This Row],[FD/Satış]])*10,"")</f>
        <v>3.3783783783783781</v>
      </c>
      <c r="Z6" s="10">
        <f>IFERROR((MIN(Tablo1[PEG])/Tablo1[[#This Row],[PEG]])*10,"")</f>
        <v>2.0703933747412008E-2</v>
      </c>
      <c r="AA6" s="10">
        <f>(Tablo1[[#This Row],[ROIC]]/MAX(Tablo1[ROIC]))*10</f>
        <v>1.2371422182468697</v>
      </c>
      <c r="AB6" s="10" t="str">
        <f>IFERROR(IF(Tablo1[[#This Row],[Yıllık Net Kar Değişimi]]&lt;0,0,(Tablo1[[#This Row],[Yıllık Net Kar Değişimi]]/MAX(Tablo1[Yıllık Net Kar Değişimi]))*10),"")</f>
        <v/>
      </c>
      <c r="AC6" s="10">
        <f>IFERROR(IF(Tablo1[[#This Row],[Yıllık FAVÖK Değişimi]]&lt;0,0,(Tablo1[[#This Row],[Yıllık FAVÖK Değişimi]]/MAX(Tablo1[Yıllık FAVÖK Değişimi]))*10),"")</f>
        <v>1.2455290336001932</v>
      </c>
      <c r="AD6" s="10">
        <f>IFERROR(IF(Tablo1[[#This Row],[Yıllık Satışlar Değişimi]]&lt;0,0,(Tablo1[[#This Row],[Yıllık Satışlar Değişimi]]/MAX(Tablo1[Yıllık Satışlar Değişimi]))*10),"")</f>
        <v>2.1923699225070252</v>
      </c>
      <c r="AF6" s="5">
        <f>SUMIFS([1]!Tablo1[Hisse Fiyatı],[1]!Tablo1[Hisse],Tablo1[[#This Row],[Şirket]],[1]!Tablo1[Dönem],$R$2)</f>
        <v>121.5</v>
      </c>
    </row>
    <row r="7" spans="2:32" ht="21.95" customHeight="1" thickTop="1" thickBot="1" x14ac:dyDescent="0.3">
      <c r="B7" s="15" t="str">
        <f>+data!A6</f>
        <v>BIGCH</v>
      </c>
      <c r="C7" s="6">
        <f>+data!B6/100</f>
        <v>0.9556</v>
      </c>
      <c r="D7" s="8">
        <f>IF(data!C6&lt;0,"",data!C6)</f>
        <v>5.96</v>
      </c>
      <c r="E7" s="8">
        <f>IF(data!D6="","",data!D6)</f>
        <v>12.48</v>
      </c>
      <c r="F7" s="8">
        <f>IF(data!E6="","",data!E6)</f>
        <v>6.55</v>
      </c>
      <c r="G7" s="8">
        <f>IF(data!F6="","",data!F6)</f>
        <v>1.6</v>
      </c>
      <c r="H7" s="8">
        <f>IF(data!G6="","",data!G6)</f>
        <v>0.05</v>
      </c>
      <c r="I7" s="6">
        <f>IF(data!H6/100="","",data!H6/100)</f>
        <v>5.3663999999999996</v>
      </c>
      <c r="J7" s="6">
        <f>IF(data!I6/100=0,"",data!I6/100)</f>
        <v>1.5866999999999998</v>
      </c>
      <c r="K7" s="6">
        <f>IF(data!J6/100="","",data!J6/100)</f>
        <v>0.87690000000000001</v>
      </c>
      <c r="L7" s="6">
        <f>IF(data!K6/100="","",data!K6/100)</f>
        <v>1.036</v>
      </c>
      <c r="N7" s="17">
        <f>(AF7-data!M6)/AF7</f>
        <v>0.29222011385199248</v>
      </c>
      <c r="Q7" s="7" t="s">
        <v>5</v>
      </c>
      <c r="R7" s="5">
        <f>AVERAGE(Tablo1[FD/Satış])</f>
        <v>2.3843243243243246</v>
      </c>
      <c r="T7" s="27">
        <f t="shared" si="0"/>
        <v>38.711804474197429</v>
      </c>
      <c r="U7" s="10">
        <f>IF(Tablo1[[#This Row],[Özkaynak Karlılığı]]&lt;0,0,(Tablo1[[#This Row],[Özkaynak Karlılığı]]/MAX(Tablo1[Özkaynak Karlılığı]))*10)</f>
        <v>7.2022912270123607</v>
      </c>
      <c r="V7" s="10">
        <f>(MIN(Tablo1[PD/DD])/Tablo1[[#This Row],[PD/DD]])*10</f>
        <v>1.2248322147651007</v>
      </c>
      <c r="W7" s="10">
        <f>IFERROR((MIN(Tablo1[F/K])/Tablo1[[#This Row],[F/K]])*10,"")</f>
        <v>3.9823717948717947</v>
      </c>
      <c r="X7" s="10">
        <f>IFERROR((MIN(Tablo1[FD/FAVÖK])/Tablo1[[#This Row],[FD/FAVÖK]])*10,"")</f>
        <v>4.9312977099236646</v>
      </c>
      <c r="Y7" s="10">
        <f>IFERROR((MIN(Tablo1[FD/Satış])/Tablo1[[#This Row],[FD/Satış]])*10,"")</f>
        <v>1.5625</v>
      </c>
      <c r="Z7" s="10">
        <f>IFERROR((MIN(Tablo1[PEG])/Tablo1[[#This Row],[PEG]])*10,"")</f>
        <v>1.9999999999999998</v>
      </c>
      <c r="AA7" s="10">
        <f>(Tablo1[[#This Row],[ROIC]]/MAX(Tablo1[ROIC]))*10</f>
        <v>10</v>
      </c>
      <c r="AB7" s="10">
        <f>IFERROR(IF(Tablo1[[#This Row],[Yıllık Net Kar Değişimi]]&lt;0,0,(Tablo1[[#This Row],[Yıllık Net Kar Değişimi]]/MAX(Tablo1[Yıllık Net Kar Değişimi]))*10),"")</f>
        <v>3.1031448016897438</v>
      </c>
      <c r="AC7" s="10">
        <f>IFERROR(IF(Tablo1[[#This Row],[Yıllık FAVÖK Değişimi]]&lt;0,0,(Tablo1[[#This Row],[Yıllık FAVÖK Değişimi]]/MAX(Tablo1[Yıllık FAVÖK Değişimi]))*10),"")</f>
        <v>0.29422817530885736</v>
      </c>
      <c r="AD7" s="10">
        <f>IFERROR(IF(Tablo1[[#This Row],[Yıllık Satışlar Değişimi]]&lt;0,0,(Tablo1[[#This Row],[Yıllık Satışlar Değişimi]]/MAX(Tablo1[Yıllık Satışlar Değişimi]))*10),"")</f>
        <v>4.4111385506259042</v>
      </c>
      <c r="AF7" s="28">
        <v>31.62</v>
      </c>
    </row>
    <row r="8" spans="2:32" ht="21.95" customHeight="1" thickTop="1" thickBot="1" x14ac:dyDescent="0.3">
      <c r="B8" s="15" t="str">
        <f>+data!A7</f>
        <v>BYDNR</v>
      </c>
      <c r="C8" s="6">
        <f>+data!B7/100</f>
        <v>0.30530000000000002</v>
      </c>
      <c r="D8" s="8">
        <f>IF(data!C7&lt;0,"",data!C7)</f>
        <v>3.18</v>
      </c>
      <c r="E8" s="8">
        <f>IF(data!D7="","",data!D7)</f>
        <v>20.85</v>
      </c>
      <c r="F8" s="8">
        <f>IF(data!E7="","",data!E7)</f>
        <v>7.32</v>
      </c>
      <c r="G8" s="8">
        <f>IF(data!F7="","",data!F7)</f>
        <v>1.36</v>
      </c>
      <c r="H8" s="8">
        <f>IF(data!G7="","",data!G7)</f>
        <v>0.15</v>
      </c>
      <c r="I8" s="6">
        <f>IF(data!H7/100="","",data!H7/100)</f>
        <v>1.8403</v>
      </c>
      <c r="J8" s="6">
        <f>IF(data!I7/100=0,"",data!I7/100)</f>
        <v>1.3326</v>
      </c>
      <c r="K8" s="6">
        <f>IF(data!J7/100="","",data!J7/100)</f>
        <v>0.5272</v>
      </c>
      <c r="L8" s="6">
        <f>IF(data!K7/100="","",data!K7/100)</f>
        <v>0.93849999999999989</v>
      </c>
      <c r="N8" s="17">
        <f>(AF8-data!M7)/AF8</f>
        <v>0.27038895859473017</v>
      </c>
      <c r="Q8" s="7" t="s">
        <v>4</v>
      </c>
      <c r="R8" s="5">
        <f>AVERAGE(Tablo1[FD/FAVÖK])</f>
        <v>14.979444444444441</v>
      </c>
      <c r="T8" s="27">
        <f t="shared" si="0"/>
        <v>24.10617256767754</v>
      </c>
      <c r="U8" s="10">
        <f>IF(Tablo1[[#This Row],[Özkaynak Karlılığı]]&lt;0,0,(Tablo1[[#This Row],[Özkaynak Karlılığı]]/MAX(Tablo1[Özkaynak Karlılığı]))*10)</f>
        <v>2.3010250226107933</v>
      </c>
      <c r="V8" s="10">
        <f>(MIN(Tablo1[PD/DD])/Tablo1[[#This Row],[PD/DD]])*10</f>
        <v>2.2955974842767293</v>
      </c>
      <c r="W8" s="10">
        <f>IFERROR((MIN(Tablo1[F/K])/Tablo1[[#This Row],[F/K]])*10,"")</f>
        <v>2.383693045563549</v>
      </c>
      <c r="X8" s="10">
        <f>IFERROR((MIN(Tablo1[FD/FAVÖK])/Tablo1[[#This Row],[FD/FAVÖK]])*10,"")</f>
        <v>4.4125683060109289</v>
      </c>
      <c r="Y8" s="10">
        <f>IFERROR((MIN(Tablo1[FD/Satış])/Tablo1[[#This Row],[FD/Satış]])*10,"")</f>
        <v>1.838235294117647</v>
      </c>
      <c r="Z8" s="10">
        <f>IFERROR((MIN(Tablo1[PEG])/Tablo1[[#This Row],[PEG]])*10,"")</f>
        <v>0.66666666666666663</v>
      </c>
      <c r="AA8" s="10">
        <f>(Tablo1[[#This Row],[ROIC]]/MAX(Tablo1[ROIC]))*10</f>
        <v>3.4293008348240912</v>
      </c>
      <c r="AB8" s="10">
        <f>IFERROR(IF(Tablo1[[#This Row],[Yıllık Net Kar Değişimi]]&lt;0,0,(Tablo1[[#This Row],[Yıllık Net Kar Değişimi]]/MAX(Tablo1[Yıllık Net Kar Değişimi]))*10),"")</f>
        <v>2.6061957287021826</v>
      </c>
      <c r="AC8" s="10">
        <f>IFERROR(IF(Tablo1[[#This Row],[Yıllık FAVÖK Değişimi]]&lt;0,0,(Tablo1[[#This Row],[Yıllık FAVÖK Değişimi]]/MAX(Tablo1[Yıllık FAVÖK Değişimi]))*10),"")</f>
        <v>0.17689256930417335</v>
      </c>
      <c r="AD8" s="10">
        <f>IFERROR(IF(Tablo1[[#This Row],[Yıllık Satışlar Değişimi]]&lt;0,0,(Tablo1[[#This Row],[Yıllık Satışlar Değişimi]]/MAX(Tablo1[Yıllık Satışlar Değişimi]))*10),"")</f>
        <v>3.9959976156007828</v>
      </c>
      <c r="AF8" s="28">
        <v>31.88</v>
      </c>
    </row>
    <row r="9" spans="2:32" ht="21.95" customHeight="1" thickTop="1" thickBot="1" x14ac:dyDescent="0.3">
      <c r="B9" s="15" t="str">
        <f>+data!A8</f>
        <v>CCOLA</v>
      </c>
      <c r="C9" s="6">
        <f>+data!B8/100</f>
        <v>0.3155</v>
      </c>
      <c r="D9" s="8">
        <f>IF(data!C8&lt;0,"",data!C8)</f>
        <v>3.9</v>
      </c>
      <c r="E9" s="8">
        <f>IF(data!D8="","",data!D8)</f>
        <v>15.72</v>
      </c>
      <c r="F9" s="8">
        <f>IF(data!E8="","",data!E8)</f>
        <v>8.19</v>
      </c>
      <c r="G9" s="8">
        <f>IF(data!F8="","",data!F8)</f>
        <v>1.71</v>
      </c>
      <c r="H9" s="8">
        <f>IF(data!G8="","",data!G8)</f>
        <v>0.14000000000000001</v>
      </c>
      <c r="I9" s="6">
        <f>IF(data!H8/100="","",data!H8/100)</f>
        <v>0.69830000000000003</v>
      </c>
      <c r="J9" s="6">
        <f>IF(data!I8/100=0,"",data!I8/100)</f>
        <v>1.1047</v>
      </c>
      <c r="K9" s="6">
        <f>IF(data!J8/100="","",data!J8/100)</f>
        <v>0.873</v>
      </c>
      <c r="L9" s="6">
        <f>IF(data!K8/100="","",data!K8/100)</f>
        <v>0.73069999999999991</v>
      </c>
      <c r="N9" s="17">
        <f>(AF9-data!M8)/AF9</f>
        <v>-0.41109298531810762</v>
      </c>
      <c r="Q9" s="7" t="s">
        <v>3</v>
      </c>
      <c r="R9" s="5">
        <f>+AVERAGE(Tablo1[F/K])</f>
        <v>19.280571428571424</v>
      </c>
      <c r="T9" s="27">
        <f t="shared" si="0"/>
        <v>20.397248318470815</v>
      </c>
      <c r="U9" s="10">
        <f>IF(Tablo1[[#This Row],[Özkaynak Karlılığı]]&lt;0,0,(Tablo1[[#This Row],[Özkaynak Karlılığı]]/MAX(Tablo1[Özkaynak Karlılığı]))*10)</f>
        <v>2.3779017184202593</v>
      </c>
      <c r="V9" s="10">
        <f>(MIN(Tablo1[PD/DD])/Tablo1[[#This Row],[PD/DD]])*10</f>
        <v>1.8717948717948718</v>
      </c>
      <c r="W9" s="10">
        <f>IFERROR((MIN(Tablo1[F/K])/Tablo1[[#This Row],[F/K]])*10,"")</f>
        <v>3.1615776081424936</v>
      </c>
      <c r="X9" s="10">
        <f>IFERROR((MIN(Tablo1[FD/FAVÖK])/Tablo1[[#This Row],[FD/FAVÖK]])*10,"")</f>
        <v>3.943833943833944</v>
      </c>
      <c r="Y9" s="10">
        <f>IFERROR((MIN(Tablo1[FD/Satış])/Tablo1[[#This Row],[FD/Satış]])*10,"")</f>
        <v>1.4619883040935671</v>
      </c>
      <c r="Z9" s="10">
        <f>IFERROR((MIN(Tablo1[PEG])/Tablo1[[#This Row],[PEG]])*10,"")</f>
        <v>0.71428571428571419</v>
      </c>
      <c r="AA9" s="10">
        <f>(Tablo1[[#This Row],[ROIC]]/MAX(Tablo1[ROIC]))*10</f>
        <v>1.3012447823494335</v>
      </c>
      <c r="AB9" s="10">
        <f>IFERROR(IF(Tablo1[[#This Row],[Yıllık Net Kar Değişimi]]&lt;0,0,(Tablo1[[#This Row],[Yıllık Net Kar Değişimi]]/MAX(Tablo1[Yıllık Net Kar Değişimi]))*10),"")</f>
        <v>2.160486583744035</v>
      </c>
      <c r="AC9" s="10">
        <f>IFERROR(IF(Tablo1[[#This Row],[Yıllık FAVÖK Değişimi]]&lt;0,0,(Tablo1[[#This Row],[Yıllık FAVÖK Değişimi]]/MAX(Tablo1[Yıllık FAVÖK Değişimi]))*10),"")</f>
        <v>0.29291959977720666</v>
      </c>
      <c r="AD9" s="10">
        <f>IFERROR(IF(Tablo1[[#This Row],[Yıllık Satışlar Değişimi]]&lt;0,0,(Tablo1[[#This Row],[Yıllık Satışlar Değişimi]]/MAX(Tablo1[Yıllık Satışlar Değişimi]))*10),"")</f>
        <v>3.1112151920292934</v>
      </c>
      <c r="AF9" s="5">
        <f>SUMIFS([1]!Tablo1[Hisse Fiyatı],[1]!Tablo1[Hisse],Tablo1[[#This Row],[Şirket]],[1]!Tablo1[Dönem],$R$2)</f>
        <v>367.8</v>
      </c>
    </row>
    <row r="10" spans="2:32" ht="21.95" customHeight="1" thickTop="1" thickBot="1" x14ac:dyDescent="0.3">
      <c r="B10" s="15" t="str">
        <f>+data!A9</f>
        <v>DARDL</v>
      </c>
      <c r="C10" s="6">
        <f>+data!B9/100</f>
        <v>3.1099999999999999E-2</v>
      </c>
      <c r="D10" s="8">
        <f>IF(data!C9&lt;0,"",data!C9)</f>
        <v>1.46</v>
      </c>
      <c r="E10" s="8">
        <f>IF(data!D9="","",data!D9)</f>
        <v>65.099999999999994</v>
      </c>
      <c r="F10" s="8">
        <f>IF(data!E9="","",data!E9)</f>
        <v>8.8000000000000007</v>
      </c>
      <c r="G10" s="8">
        <f>IF(data!F9="","",data!F9)</f>
        <v>0.98</v>
      </c>
      <c r="H10" s="8">
        <f>IF(data!G9="","",data!G9)</f>
        <v>0.12</v>
      </c>
      <c r="I10" s="6">
        <f>IF(data!H9/100="","",data!H9/100)</f>
        <v>0.31730000000000003</v>
      </c>
      <c r="J10" s="6">
        <f>IF(data!I9/100=0,"",data!I9/100)</f>
        <v>-0.83590000000000009</v>
      </c>
      <c r="K10" s="6">
        <f>IF(data!J9/100="","",data!J9/100)</f>
        <v>1.7878000000000001</v>
      </c>
      <c r="L10" s="6">
        <f>IF(data!K9/100="","",data!K9/100)</f>
        <v>0.93079999999999996</v>
      </c>
      <c r="N10" s="17">
        <f>(AF10-data!M9)/AF10</f>
        <v>0.1877022653721683</v>
      </c>
      <c r="Q10" s="7" t="s">
        <v>2</v>
      </c>
      <c r="R10" s="5">
        <f>AVERAGE(Tablo1[PD/DD])</f>
        <v>4.8959459459459458</v>
      </c>
      <c r="T10" s="27">
        <f t="shared" si="0"/>
        <v>18.206995887425737</v>
      </c>
      <c r="U10" s="10">
        <f>IF(Tablo1[[#This Row],[Özkaynak Karlılığı]]&lt;0,0,(Tablo1[[#This Row],[Özkaynak Karlılığı]]/MAX(Tablo1[Özkaynak Karlılığı]))*10)</f>
        <v>0.23439855290925538</v>
      </c>
      <c r="V10" s="10">
        <f>(MIN(Tablo1[PD/DD])/Tablo1[[#This Row],[PD/DD]])*10</f>
        <v>5</v>
      </c>
      <c r="W10" s="10">
        <f>IFERROR((MIN(Tablo1[F/K])/Tablo1[[#This Row],[F/K]])*10,"")</f>
        <v>0.76344086021505375</v>
      </c>
      <c r="X10" s="10">
        <f>IFERROR((MIN(Tablo1[FD/FAVÖK])/Tablo1[[#This Row],[FD/FAVÖK]])*10,"")</f>
        <v>3.670454545454545</v>
      </c>
      <c r="Y10" s="10">
        <f>IFERROR((MIN(Tablo1[FD/Satış])/Tablo1[[#This Row],[FD/Satış]])*10,"")</f>
        <v>2.5510204081632653</v>
      </c>
      <c r="Z10" s="10">
        <f>IFERROR((MIN(Tablo1[PEG])/Tablo1[[#This Row],[PEG]])*10,"")</f>
        <v>0.83333333333333348</v>
      </c>
      <c r="AA10" s="10">
        <f>(Tablo1[[#This Row],[ROIC]]/MAX(Tablo1[ROIC]))*10</f>
        <v>0.59127161598091837</v>
      </c>
      <c r="AB10" s="10">
        <f>IFERROR(IF(Tablo1[[#This Row],[Yıllık Net Kar Değişimi]]&lt;0,0,(Tablo1[[#This Row],[Yıllık Net Kar Değişimi]]/MAX(Tablo1[Yıllık Net Kar Değişimi]))*10),"")</f>
        <v>0</v>
      </c>
      <c r="AC10" s="10">
        <f>IFERROR(IF(Tablo1[[#This Row],[Yıllık FAVÖK Değişimi]]&lt;0,0,(Tablo1[[#This Row],[Yıllık FAVÖK Değişimi]]/MAX(Tablo1[Yıllık FAVÖK Değişimi]))*10),"")</f>
        <v>0.5998644449962085</v>
      </c>
      <c r="AD10" s="10">
        <f>IFERROR(IF(Tablo1[[#This Row],[Yıllık Satışlar Değişimi]]&lt;0,0,(Tablo1[[#This Row],[Yıllık Satışlar Değişimi]]/MAX(Tablo1[Yıllık Satışlar Değişimi]))*10),"")</f>
        <v>3.9632121263731577</v>
      </c>
      <c r="AF10" s="5">
        <f>SUMIFS([1]!Tablo1[Hisse Fiyatı],[1]!Tablo1[Hisse],Tablo1[[#This Row],[Şirket]],[1]!Tablo1[Dönem],$R$2)</f>
        <v>6.18</v>
      </c>
    </row>
    <row r="11" spans="2:32" ht="21.95" customHeight="1" thickTop="1" thickBot="1" x14ac:dyDescent="0.3">
      <c r="B11" s="15" t="str">
        <f>+data!A10</f>
        <v>DMRGD</v>
      </c>
      <c r="C11" s="22">
        <f>+data!B10/100</f>
        <v>7.6100000000000001E-2</v>
      </c>
      <c r="D11" s="8">
        <f>IF(data!C10&lt;0,"",data!C10)</f>
        <v>1.7</v>
      </c>
      <c r="E11" s="8">
        <f>IF(data!D10="","",data!D10)</f>
        <v>44.63</v>
      </c>
      <c r="F11" s="8">
        <f>IF(data!E10="","",data!E10)</f>
        <v>19.38</v>
      </c>
      <c r="G11" s="8">
        <f>IF(data!F10="","",data!F10)</f>
        <v>3.43</v>
      </c>
      <c r="H11" s="8" t="str">
        <f>IF(data!G10="","",data!G10)</f>
        <v/>
      </c>
      <c r="I11" s="23">
        <f>IF(data!H10/100="","",data!H10/100)</f>
        <v>0.1883</v>
      </c>
      <c r="J11" s="6" t="str">
        <f>IF(data!I10/100=0,"",data!I10/100)</f>
        <v/>
      </c>
      <c r="K11" s="6">
        <f>IF(data!J10/100="","",data!J10/100)</f>
        <v>29.8034</v>
      </c>
      <c r="L11" s="6">
        <f>IF(data!K10/100="","",data!K10/100)</f>
        <v>0.54430000000000001</v>
      </c>
      <c r="N11" s="17">
        <f>(AF11-data!M10)/AF11</f>
        <v>0.26910299003322263</v>
      </c>
      <c r="Q11" s="7" t="s">
        <v>1</v>
      </c>
      <c r="R11" s="5">
        <f>AVERAGE(Tablo1[Özkaynak Karlılığı])</f>
        <v>0.35920000000000007</v>
      </c>
      <c r="T11" s="27">
        <f t="shared" ref="T11:T14" si="1">SUM(U11:AD11)</f>
        <v>21.045246332651676</v>
      </c>
      <c r="U11" s="10">
        <f>IF(Tablo1[[#This Row],[Özkaynak Karlılığı]]&lt;0,0,(Tablo1[[#This Row],[Özkaynak Karlılığı]]/MAX(Tablo1[Özkaynak Karlılığı]))*10)</f>
        <v>0.57356044618631297</v>
      </c>
      <c r="V11" s="10">
        <f>(MIN(Tablo1[PD/DD])/Tablo1[[#This Row],[PD/DD]])*10</f>
        <v>4.2941176470588234</v>
      </c>
      <c r="W11" s="10">
        <f>IFERROR((MIN(Tablo1[F/K])/Tablo1[[#This Row],[F/K]])*10,"")</f>
        <v>1.1136007170064979</v>
      </c>
      <c r="X11" s="10">
        <f>IFERROR((MIN(Tablo1[FD/FAVÖK])/Tablo1[[#This Row],[FD/FAVÖK]])*10,"")</f>
        <v>1.666666666666667</v>
      </c>
      <c r="Y11" s="10">
        <f>IFERROR((MIN(Tablo1[FD/Satış])/Tablo1[[#This Row],[FD/Satış]])*10,"")</f>
        <v>0.7288629737609329</v>
      </c>
      <c r="Z11" s="10" t="str">
        <f>IFERROR((MIN(Tablo1[PEG])/Tablo1[[#This Row],[PEG]])*10,"")</f>
        <v/>
      </c>
      <c r="AA11" s="10">
        <f>(Tablo1[[#This Row],[ROIC]]/MAX(Tablo1[ROIC]))*10</f>
        <v>0.35088700059630296</v>
      </c>
      <c r="AB11" s="10" t="str">
        <f>IFERROR(IF(Tablo1[[#This Row],[Yıllık Net Kar Değişimi]]&lt;0,0,(Tablo1[[#This Row],[Yıllık Net Kar Değişimi]]/MAX(Tablo1[Yıllık Net Kar Değişimi]))*10),"")</f>
        <v/>
      </c>
      <c r="AC11" s="10">
        <f>IFERROR(IF(Tablo1[[#This Row],[Yıllık FAVÖK Değişimi]]&lt;0,0,(Tablo1[[#This Row],[Yıllık FAVÖK Değişimi]]/MAX(Tablo1[Yıllık FAVÖK Değişimi]))*10),"")</f>
        <v>10</v>
      </c>
      <c r="AD11" s="10">
        <f>IFERROR(IF(Tablo1[[#This Row],[Yıllık Satışlar Değişimi]]&lt;0,0,(Tablo1[[#This Row],[Yıllık Satışlar Değişimi]]/MAX(Tablo1[Yıllık Satışlar Değişimi]))*10),"")</f>
        <v>2.3175508813761385</v>
      </c>
      <c r="AF11" s="28">
        <v>15.05</v>
      </c>
    </row>
    <row r="12" spans="2:32" ht="21.95" customHeight="1" thickTop="1" thickBot="1" x14ac:dyDescent="0.3">
      <c r="B12" s="15" t="str">
        <f>+data!A11</f>
        <v>EKSUN</v>
      </c>
      <c r="C12" s="22">
        <f>+data!B11/100</f>
        <v>0.35840000000000005</v>
      </c>
      <c r="D12" s="8">
        <f>IF(data!C11&lt;0,"",data!C11)</f>
        <v>2.81</v>
      </c>
      <c r="E12" s="8">
        <f>IF(data!D11="","",data!D11)</f>
        <v>13.12</v>
      </c>
      <c r="F12" s="8">
        <f>IF(data!E11="","",data!E11)</f>
        <v>11.44</v>
      </c>
      <c r="G12" s="8">
        <f>IF(data!F11="","",data!F11)</f>
        <v>0.96</v>
      </c>
      <c r="H12" s="8">
        <f>IF(data!G11="","",data!G11)</f>
        <v>0.25</v>
      </c>
      <c r="I12" s="23">
        <f>IF(data!H11/100="","",data!H11/100)</f>
        <v>0.70050000000000001</v>
      </c>
      <c r="J12" s="6">
        <f>IF(data!I11/100=0,"",data!I11/100)</f>
        <v>0.45119999999999999</v>
      </c>
      <c r="K12" s="6">
        <f>IF(data!J11/100="","",data!J11/100)</f>
        <v>-0.125</v>
      </c>
      <c r="L12" s="6">
        <f>IF(data!K11/100="","",data!K11/100)</f>
        <v>0.39950000000000002</v>
      </c>
      <c r="N12" s="17">
        <f>(AF12-data!M11)/AF12</f>
        <v>0.16877637130801679</v>
      </c>
      <c r="Q12" s="7" t="s">
        <v>14</v>
      </c>
      <c r="R12" s="9">
        <f>+AVERAGE(N3:N21)</f>
        <v>7.5540487447091201E-2</v>
      </c>
      <c r="T12" s="27">
        <f t="shared" si="1"/>
        <v>18.80358352283071</v>
      </c>
      <c r="U12" s="10">
        <f>IF(Tablo1[[#This Row],[Özkaynak Karlılığı]]&lt;0,0,(Tablo1[[#This Row],[Özkaynak Karlılığı]]/MAX(Tablo1[Özkaynak Karlılığı]))*10)</f>
        <v>2.7012360566777209</v>
      </c>
      <c r="V12" s="10">
        <f>(MIN(Tablo1[PD/DD])/Tablo1[[#This Row],[PD/DD]])*10</f>
        <v>2.5978647686832739</v>
      </c>
      <c r="W12" s="10">
        <f>IFERROR((MIN(Tablo1[F/K])/Tablo1[[#This Row],[F/K]])*10,"")</f>
        <v>3.7881097560975614</v>
      </c>
      <c r="X12" s="10">
        <f>IFERROR((MIN(Tablo1[FD/FAVÖK])/Tablo1[[#This Row],[FD/FAVÖK]])*10,"")</f>
        <v>2.8234265734265733</v>
      </c>
      <c r="Y12" s="10">
        <f>IFERROR((MIN(Tablo1[FD/Satış])/Tablo1[[#This Row],[FD/Satış]])*10,"")</f>
        <v>2.604166666666667</v>
      </c>
      <c r="Z12" s="10">
        <f>IFERROR((MIN(Tablo1[PEG])/Tablo1[[#This Row],[PEG]])*10,"")</f>
        <v>0.4</v>
      </c>
      <c r="AA12" s="10">
        <f>(Tablo1[[#This Row],[ROIC]]/MAX(Tablo1[ROIC]))*10</f>
        <v>1.3053443649373884</v>
      </c>
      <c r="AB12" s="10">
        <f>IFERROR(IF(Tablo1[[#This Row],[Yıllık Net Kar Değişimi]]&lt;0,0,(Tablo1[[#This Row],[Yıllık Net Kar Değişimi]]/MAX(Tablo1[Yıllık Net Kar Değişimi]))*10),"")</f>
        <v>0.88242196667448947</v>
      </c>
      <c r="AC12" s="10">
        <f>IFERROR(IF(Tablo1[[#This Row],[Yıllık FAVÖK Değişimi]]&lt;0,0,(Tablo1[[#This Row],[Yıllık FAVÖK Değişimi]]/MAX(Tablo1[Yıllık FAVÖK Değişimi]))*10),"")</f>
        <v>0</v>
      </c>
      <c r="AD12" s="10">
        <f>IFERROR(IF(Tablo1[[#This Row],[Yıllık Satışlar Değişimi]]&lt;0,0,(Tablo1[[#This Row],[Yıllık Satışlar Değişimi]]/MAX(Tablo1[Yıllık Satışlar Değişimi]))*10),"")</f>
        <v>1.7010133696670358</v>
      </c>
      <c r="AF12" s="28">
        <v>71.099999999999994</v>
      </c>
    </row>
    <row r="13" spans="2:32" ht="21.95" customHeight="1" thickTop="1" thickBot="1" x14ac:dyDescent="0.3">
      <c r="B13" s="15" t="str">
        <f>+data!A12</f>
        <v>ELITE</v>
      </c>
      <c r="C13" s="22">
        <f>+data!B12/100</f>
        <v>0.54170000000000007</v>
      </c>
      <c r="D13" s="8">
        <f>IF(data!C12&lt;0,"",data!C12)</f>
        <v>11.88</v>
      </c>
      <c r="E13" s="8">
        <f>IF(data!D12="","",data!D12)</f>
        <v>29.9</v>
      </c>
      <c r="F13" s="8">
        <f>IF(data!E12="","",data!E12)</f>
        <v>25.83</v>
      </c>
      <c r="G13" s="8">
        <f>IF(data!F12="","",data!F12)</f>
        <v>10.49</v>
      </c>
      <c r="H13" s="8">
        <f>IF(data!G12="","",data!G12)</f>
        <v>0.27</v>
      </c>
      <c r="I13" s="23">
        <f>IF(data!H12/100="","",data!H12/100)</f>
        <v>0.53110000000000002</v>
      </c>
      <c r="J13" s="6">
        <f>IF(data!I12/100=0,"",data!I12/100)</f>
        <v>1.2078</v>
      </c>
      <c r="K13" s="6">
        <f>IF(data!J12/100="","",data!J12/100)</f>
        <v>0.55969999999999998</v>
      </c>
      <c r="L13" s="6">
        <f>IF(data!K12/100="","",data!K12/100)</f>
        <v>0.2666</v>
      </c>
      <c r="N13" s="17">
        <f>(AF13-data!M12)/AF13</f>
        <v>2.8423772609819098E-2</v>
      </c>
      <c r="Q13" s="7"/>
      <c r="T13" s="27">
        <f t="shared" si="1"/>
        <v>12.893357269791476</v>
      </c>
      <c r="U13" s="10">
        <f>IF(Tablo1[[#This Row],[Özkaynak Karlılığı]]&lt;0,0,(Tablo1[[#This Row],[Özkaynak Karlılığı]]/MAX(Tablo1[Özkaynak Karlılığı]))*10)</f>
        <v>4.0827555019596034</v>
      </c>
      <c r="V13" s="10">
        <f>(MIN(Tablo1[PD/DD])/Tablo1[[#This Row],[PD/DD]])*10</f>
        <v>0.6144781144781144</v>
      </c>
      <c r="W13" s="10">
        <f>IFERROR((MIN(Tablo1[F/K])/Tablo1[[#This Row],[F/K]])*10,"")</f>
        <v>1.6622073578595318</v>
      </c>
      <c r="X13" s="10">
        <f>IFERROR((MIN(Tablo1[FD/FAVÖK])/Tablo1[[#This Row],[FD/FAVÖK]])*10,"")</f>
        <v>1.2504839334107629</v>
      </c>
      <c r="Y13" s="10">
        <f>IFERROR((MIN(Tablo1[FD/Satış])/Tablo1[[#This Row],[FD/Satış]])*10,"")</f>
        <v>0.23832221163012393</v>
      </c>
      <c r="Z13" s="10">
        <f>IFERROR((MIN(Tablo1[PEG])/Tablo1[[#This Row],[PEG]])*10,"")</f>
        <v>0.37037037037037035</v>
      </c>
      <c r="AA13" s="10">
        <f>(Tablo1[[#This Row],[ROIC]]/MAX(Tablo1[ROIC]))*10</f>
        <v>0.98967650566487797</v>
      </c>
      <c r="AB13" s="10">
        <f>IFERROR(IF(Tablo1[[#This Row],[Yıllık Net Kar Değişimi]]&lt;0,0,(Tablo1[[#This Row],[Yıllık Net Kar Değişimi]]/MAX(Tablo1[Yıllık Net Kar Değişimi]))*10),"")</f>
        <v>2.3621215677071112</v>
      </c>
      <c r="AC13" s="10">
        <f>IFERROR(IF(Tablo1[[#This Row],[Yıllık FAVÖK Değişimi]]&lt;0,0,(Tablo1[[#This Row],[Yıllık FAVÖK Değişimi]]/MAX(Tablo1[Yıllık FAVÖK Değişimi]))*10),"")</f>
        <v>0.18779736540126293</v>
      </c>
      <c r="AD13" s="10">
        <f>IFERROR(IF(Tablo1[[#This Row],[Yıllık Satışlar Değişimi]]&lt;0,0,(Tablo1[[#This Row],[Yıllık Satışlar Değişimi]]/MAX(Tablo1[Yıllık Satışlar Değişimi]))*10),"")</f>
        <v>1.1351443413097164</v>
      </c>
      <c r="AF13" s="5">
        <f>SUMIFS([1]!Tablo1[Hisse Fiyatı],[1]!Tablo1[Hisse],Tablo1[[#This Row],[Şirket]],[1]!Tablo1[Dönem],$R$2)</f>
        <v>58.05</v>
      </c>
    </row>
    <row r="14" spans="2:32" ht="21.95" customHeight="1" thickTop="1" thickBot="1" x14ac:dyDescent="0.3">
      <c r="B14" s="15" t="str">
        <f>+data!A13</f>
        <v>FADE</v>
      </c>
      <c r="C14" s="22">
        <f>+data!B13/100</f>
        <v>0.48960000000000004</v>
      </c>
      <c r="D14" s="8">
        <f>IF(data!C13&lt;0,"",data!C13)</f>
        <v>1.95</v>
      </c>
      <c r="E14" s="8">
        <f>IF(data!D13="","",data!D13)</f>
        <v>4.97</v>
      </c>
      <c r="F14" s="8">
        <f>IF(data!E13="","",data!E13)</f>
        <v>61.16</v>
      </c>
      <c r="G14" s="8">
        <f>IF(data!F13="","",data!F13)</f>
        <v>5.73</v>
      </c>
      <c r="H14" s="8">
        <f>IF(data!G13="","",data!G13)</f>
        <v>7.0000000000000007E-2</v>
      </c>
      <c r="I14" s="23">
        <f>IF(data!H13/100="","",data!H13/100)</f>
        <v>-0.34850000000000003</v>
      </c>
      <c r="J14" s="6">
        <f>IF(data!I13/100=0,"",data!I13/100)</f>
        <v>0.53590000000000004</v>
      </c>
      <c r="K14" s="6">
        <f>IF(data!J13/100="","",data!J13/100)</f>
        <v>-0.2671</v>
      </c>
      <c r="L14" s="6">
        <f>IF(data!K13/100="","",data!K13/100)</f>
        <v>0.90529999999999999</v>
      </c>
      <c r="N14" s="17">
        <f>(AF14-data!M13)/AF14</f>
        <v>0.1624449339207048</v>
      </c>
      <c r="Q14" s="7"/>
      <c r="T14" s="27">
        <f t="shared" si="1"/>
        <v>24.079963013426891</v>
      </c>
      <c r="U14" s="10">
        <f>IF(Tablo1[[#This Row],[Özkaynak Karlılığı]]&lt;0,0,(Tablo1[[#This Row],[Özkaynak Karlılığı]]/MAX(Tablo1[Özkaynak Karlılığı]))*10)</f>
        <v>3.690081398854387</v>
      </c>
      <c r="V14" s="10">
        <f>(MIN(Tablo1[PD/DD])/Tablo1[[#This Row],[PD/DD]])*10</f>
        <v>3.7435897435897436</v>
      </c>
      <c r="W14" s="10">
        <f>IFERROR((MIN(Tablo1[F/K])/Tablo1[[#This Row],[F/K]])*10,"")</f>
        <v>10</v>
      </c>
      <c r="X14" s="10">
        <f>IFERROR((MIN(Tablo1[FD/FAVÖK])/Tablo1[[#This Row],[FD/FAVÖK]])*10,"")</f>
        <v>0.52812295618051019</v>
      </c>
      <c r="Y14" s="10">
        <f>IFERROR((MIN(Tablo1[FD/Satış])/Tablo1[[#This Row],[FD/Satış]])*10,"")</f>
        <v>0.43630017452006981</v>
      </c>
      <c r="Z14" s="10">
        <f>IFERROR((MIN(Tablo1[PEG])/Tablo1[[#This Row],[PEG]])*10,"")</f>
        <v>1.4285714285714284</v>
      </c>
      <c r="AA14" s="10">
        <f>(Tablo1[[#This Row],[ROIC]]/MAX(Tablo1[ROIC]))*10</f>
        <v>-0.64941115086463941</v>
      </c>
      <c r="AB14" s="10">
        <f>IFERROR(IF(Tablo1[[#This Row],[Yıllık Net Kar Değişimi]]&lt;0,0,(Tablo1[[#This Row],[Yıllık Net Kar Değişimi]]/MAX(Tablo1[Yıllık Net Kar Değişimi]))*10),"")</f>
        <v>1.0480716576703435</v>
      </c>
      <c r="AC14" s="10">
        <f>IFERROR(IF(Tablo1[[#This Row],[Yıllık FAVÖK Değişimi]]&lt;0,0,(Tablo1[[#This Row],[Yıllık FAVÖK Değişimi]]/MAX(Tablo1[Yıllık FAVÖK Değişimi]))*10),"")</f>
        <v>0</v>
      </c>
      <c r="AD14" s="10">
        <f>IFERROR(IF(Tablo1[[#This Row],[Yıllık Satışlar Değişimi]]&lt;0,0,(Tablo1[[#This Row],[Yıllık Satışlar Değişimi]]/MAX(Tablo1[Yıllık Satışlar Değişimi]))*10),"")</f>
        <v>3.8546368049050495</v>
      </c>
      <c r="AF14" s="5">
        <f>SUMIFS([1]!Tablo1[Hisse Fiyatı],[1]!Tablo1[Hisse],Tablo1[[#This Row],[Şirket]],[1]!Tablo1[Dönem],$R$2)</f>
        <v>18.16</v>
      </c>
    </row>
    <row r="15" spans="2:32" ht="21.95" customHeight="1" thickTop="1" thickBot="1" x14ac:dyDescent="0.3">
      <c r="B15" s="15" t="str">
        <f>+data!A14</f>
        <v>FRIGO</v>
      </c>
      <c r="C15" s="22">
        <f>+data!B14/100</f>
        <v>0.1623</v>
      </c>
      <c r="D15" s="8">
        <f>IF(data!C14&lt;0,"",data!C14)</f>
        <v>2.29</v>
      </c>
      <c r="E15" s="8">
        <f>IF(data!D14="","",data!D14)</f>
        <v>15.15</v>
      </c>
      <c r="F15" s="8">
        <f>IF(data!E14="","",data!E14)</f>
        <v>6.65</v>
      </c>
      <c r="G15" s="8">
        <f>IF(data!F14="","",data!F14)</f>
        <v>1.56</v>
      </c>
      <c r="H15" s="8">
        <f>IF(data!G14="","",data!G14)</f>
        <v>42.48</v>
      </c>
      <c r="I15" s="23">
        <f>IF(data!H14/100="","",data!H14/100)</f>
        <v>0.32229999999999998</v>
      </c>
      <c r="J15" s="6">
        <f>IF(data!I14/100=0,"",data!I14/100)</f>
        <v>-0.43200000000000005</v>
      </c>
      <c r="K15" s="6">
        <f>IF(data!J14/100="","",data!J14/100)</f>
        <v>-6.6799999999999998E-2</v>
      </c>
      <c r="L15" s="6">
        <f>IF(data!K14/100="","",data!K14/100)</f>
        <v>0.42969999999999997</v>
      </c>
      <c r="N15" s="17">
        <f>(AF15-data!M14)/AF15</f>
        <v>0.12535211267605631</v>
      </c>
      <c r="Q15" s="7"/>
      <c r="T15" s="27">
        <f t="shared" ref="T15:T30" si="2">SUM(U15:AD15)</f>
        <v>16.583795344593156</v>
      </c>
      <c r="U15" s="10">
        <f>IF(Tablo1[[#This Row],[Özkaynak Karlılığı]]&lt;0,0,(Tablo1[[#This Row],[Özkaynak Karlılığı]]/MAX(Tablo1[Özkaynak Karlılığı]))*10)</f>
        <v>1.223243895085921</v>
      </c>
      <c r="V15" s="10">
        <f>(MIN(Tablo1[PD/DD])/Tablo1[[#This Row],[PD/DD]])*10</f>
        <v>3.1877729257641918</v>
      </c>
      <c r="W15" s="10">
        <f>IFERROR((MIN(Tablo1[F/K])/Tablo1[[#This Row],[F/K]])*10,"")</f>
        <v>3.2805280528052805</v>
      </c>
      <c r="X15" s="10">
        <f>IFERROR((MIN(Tablo1[FD/FAVÖK])/Tablo1[[#This Row],[FD/FAVÖK]])*10,"")</f>
        <v>4.8571428571428568</v>
      </c>
      <c r="Y15" s="10">
        <f>IFERROR((MIN(Tablo1[FD/Satış])/Tablo1[[#This Row],[FD/Satış]])*10,"")</f>
        <v>1.6025641025641024</v>
      </c>
      <c r="Z15" s="10">
        <f>IFERROR((MIN(Tablo1[PEG])/Tablo1[[#This Row],[PEG]])*10,"")</f>
        <v>2.354048964218456E-3</v>
      </c>
      <c r="AA15" s="10">
        <f>(Tablo1[[#This Row],[ROIC]]/MAX(Tablo1[ROIC]))*10</f>
        <v>0.6005888491353607</v>
      </c>
      <c r="AB15" s="10">
        <f>IFERROR(IF(Tablo1[[#This Row],[Yıllık Net Kar Değişimi]]&lt;0,0,(Tablo1[[#This Row],[Yıllık Net Kar Değişimi]]/MAX(Tablo1[Yıllık Net Kar Değişimi]))*10),"")</f>
        <v>0</v>
      </c>
      <c r="AC15" s="10">
        <f>IFERROR(IF(Tablo1[[#This Row],[Yıllık FAVÖK Değişimi]]&lt;0,0,(Tablo1[[#This Row],[Yıllık FAVÖK Değişimi]]/MAX(Tablo1[Yıllık FAVÖK Değişimi]))*10),"")</f>
        <v>0</v>
      </c>
      <c r="AD15" s="10">
        <f>IFERROR(IF(Tablo1[[#This Row],[Yıllık Satışlar Değişimi]]&lt;0,0,(Tablo1[[#This Row],[Yıllık Satışlar Değişimi]]/MAX(Tablo1[Yıllık Satışlar Değişimi]))*10),"")</f>
        <v>1.8296006131312268</v>
      </c>
      <c r="AF15" s="5">
        <f>SUMIFS([1]!Tablo1[Hisse Fiyatı],[1]!Tablo1[Hisse],Tablo1[[#This Row],[Şirket]],[1]!Tablo1[Dönem],$R$2)</f>
        <v>7.1</v>
      </c>
    </row>
    <row r="16" spans="2:32" ht="21.95" customHeight="1" thickTop="1" thickBot="1" x14ac:dyDescent="0.3">
      <c r="B16" s="15" t="str">
        <f>+data!A15</f>
        <v>GOKNR</v>
      </c>
      <c r="C16" s="22">
        <f>+data!B15/100</f>
        <v>0.45319999999999999</v>
      </c>
      <c r="D16" s="8">
        <f>IF(data!C15&lt;0,"",data!C15)</f>
        <v>2.7</v>
      </c>
      <c r="E16" s="8">
        <f>IF(data!D15="","",data!D15)</f>
        <v>8.3699999999999992</v>
      </c>
      <c r="F16" s="8">
        <f>IF(data!E15="","",data!E15)</f>
        <v>13.67</v>
      </c>
      <c r="G16" s="8">
        <f>IF(data!F15="","",data!F15)</f>
        <v>1.67</v>
      </c>
      <c r="H16" s="8">
        <f>IF(data!G15="","",data!G15)</f>
        <v>0.05</v>
      </c>
      <c r="I16" s="23">
        <f>IF(data!H15/100="","",data!H15/100)</f>
        <v>0.28720000000000001</v>
      </c>
      <c r="J16" s="6">
        <f>IF(data!I15/100=0,"",data!I15/100)</f>
        <v>1.8459000000000001</v>
      </c>
      <c r="K16" s="6">
        <f>IF(data!J15/100="","",data!J15/100)</f>
        <v>0.1193</v>
      </c>
      <c r="L16" s="6">
        <f>IF(data!K15/100="","",data!K15/100)</f>
        <v>0.21530000000000002</v>
      </c>
      <c r="N16" s="17">
        <f>(AF16-data!M15)/AF16</f>
        <v>0.14393305439330537</v>
      </c>
      <c r="T16" s="27">
        <f t="shared" si="2"/>
        <v>23.0191537560816</v>
      </c>
      <c r="U16" s="10">
        <f>IF(Tablo1[[#This Row],[Özkaynak Karlılığı]]&lt;0,0,(Tablo1[[#This Row],[Özkaynak Karlılığı]]/MAX(Tablo1[Özkaynak Karlılığı]))*10)</f>
        <v>3.4157371118480557</v>
      </c>
      <c r="V16" s="10">
        <f>(MIN(Tablo1[PD/DD])/Tablo1[[#This Row],[PD/DD]])*10</f>
        <v>2.7037037037037037</v>
      </c>
      <c r="W16" s="10">
        <f>IFERROR((MIN(Tablo1[F/K])/Tablo1[[#This Row],[F/K]])*10,"")</f>
        <v>5.9378733572281961</v>
      </c>
      <c r="X16" s="10">
        <f>IFERROR((MIN(Tablo1[FD/FAVÖK])/Tablo1[[#This Row],[FD/FAVÖK]])*10,"")</f>
        <v>2.3628383321141184</v>
      </c>
      <c r="Y16" s="10">
        <f>IFERROR((MIN(Tablo1[FD/Satış])/Tablo1[[#This Row],[FD/Satış]])*10,"")</f>
        <v>1.4970059880239521</v>
      </c>
      <c r="Z16" s="10">
        <f>IFERROR((MIN(Tablo1[PEG])/Tablo1[[#This Row],[PEG]])*10,"")</f>
        <v>1.9999999999999998</v>
      </c>
      <c r="AA16" s="10">
        <f>(Tablo1[[#This Row],[ROIC]]/MAX(Tablo1[ROIC]))*10</f>
        <v>0.53518187239117476</v>
      </c>
      <c r="AB16" s="10">
        <f>IFERROR(IF(Tablo1[[#This Row],[Yıllık Net Kar Değişimi]]&lt;0,0,(Tablo1[[#This Row],[Yıllık Net Kar Değişimi]]/MAX(Tablo1[Yıllık Net Kar Değişimi]))*10),"")</f>
        <v>3.6100680591410468</v>
      </c>
      <c r="AC16" s="10">
        <f>IFERROR(IF(Tablo1[[#This Row],[Yıllık FAVÖK Değişimi]]&lt;0,0,(Tablo1[[#This Row],[Yıllık FAVÖK Değişimi]]/MAX(Tablo1[Yıllık FAVÖK Değişimi]))*10),"")</f>
        <v>4.0028989981008879E-2</v>
      </c>
      <c r="AD16" s="10">
        <f>IFERROR(IF(Tablo1[[#This Row],[Yıllık Satışlar Değişimi]]&lt;0,0,(Tablo1[[#This Row],[Yıllık Satışlar Değişimi]]/MAX(Tablo1[Yıllık Satışlar Değişimi]))*10),"")</f>
        <v>0.91671634165034488</v>
      </c>
      <c r="AF16" s="28">
        <v>23.9</v>
      </c>
    </row>
    <row r="17" spans="2:32" ht="21.95" customHeight="1" thickTop="1" thickBot="1" x14ac:dyDescent="0.3">
      <c r="B17" s="15" t="str">
        <f>+data!A16</f>
        <v>GRTRK</v>
      </c>
      <c r="C17" s="22">
        <f>+data!B16/100</f>
        <v>0.63479999999999992</v>
      </c>
      <c r="D17" s="8">
        <f>IF(data!C16&lt;0,"",data!C16)</f>
        <v>3.61</v>
      </c>
      <c r="E17" s="8">
        <f>IF(data!D16="","",data!D16)</f>
        <v>11.39</v>
      </c>
      <c r="F17" s="8">
        <f>IF(data!E16="","",data!E16)</f>
        <v>41.05</v>
      </c>
      <c r="G17" s="8">
        <f>IF(data!F16="","",data!F16)</f>
        <v>5.29</v>
      </c>
      <c r="H17" s="8">
        <f>IF(data!G16="","",data!G16)</f>
        <v>0.06</v>
      </c>
      <c r="I17" s="23">
        <f>IF(data!H16/100="","",data!H16/100)</f>
        <v>0.17679999999999998</v>
      </c>
      <c r="J17" s="6">
        <f>IF(data!I16/100=0,"",data!I16/100)</f>
        <v>0.63759999999999994</v>
      </c>
      <c r="K17" s="6">
        <f>IF(data!J16/100="","",data!J16/100)</f>
        <v>-0.2298</v>
      </c>
      <c r="L17" s="6">
        <f>IF(data!K16/100="","",data!K16/100)</f>
        <v>0.96</v>
      </c>
      <c r="N17" s="17">
        <f>(AF17-data!M16)/AF17</f>
        <v>-0.47573397243858578</v>
      </c>
      <c r="T17" s="27">
        <f t="shared" si="2"/>
        <v>19.760150451262724</v>
      </c>
      <c r="U17" s="10">
        <f>IF(Tablo1[[#This Row],[Özkaynak Karlılığı]]&lt;0,0,(Tablo1[[#This Row],[Özkaynak Karlılığı]]/MAX(Tablo1[Özkaynak Karlılığı]))*10)</f>
        <v>4.784443774495025</v>
      </c>
      <c r="V17" s="10">
        <f>(MIN(Tablo1[PD/DD])/Tablo1[[#This Row],[PD/DD]])*10</f>
        <v>2.0221606648199448</v>
      </c>
      <c r="W17" s="10">
        <f>IFERROR((MIN(Tablo1[F/K])/Tablo1[[#This Row],[F/K]])*10,"")</f>
        <v>4.3634767339771727</v>
      </c>
      <c r="X17" s="10">
        <f>IFERROR((MIN(Tablo1[FD/FAVÖK])/Tablo1[[#This Row],[FD/FAVÖK]])*10,"")</f>
        <v>0.78684531059683316</v>
      </c>
      <c r="Y17" s="10">
        <f>IFERROR((MIN(Tablo1[FD/Satış])/Tablo1[[#This Row],[FD/Satış]])*10,"")</f>
        <v>0.47258979206049151</v>
      </c>
      <c r="Z17" s="10">
        <f>IFERROR((MIN(Tablo1[PEG])/Tablo1[[#This Row],[PEG]])*10,"")</f>
        <v>1.666666666666667</v>
      </c>
      <c r="AA17" s="10">
        <f>(Tablo1[[#This Row],[ROIC]]/MAX(Tablo1[ROIC]))*10</f>
        <v>0.3294573643410853</v>
      </c>
      <c r="AB17" s="10">
        <f>IFERROR(IF(Tablo1[[#This Row],[Yıllık Net Kar Değişimi]]&lt;0,0,(Tablo1[[#This Row],[Yıllık Net Kar Değişimi]]/MAX(Tablo1[Yıllık Net Kar Değişimi]))*10),"")</f>
        <v>1.2469686302120002</v>
      </c>
      <c r="AC17" s="10">
        <f>IFERROR(IF(Tablo1[[#This Row],[Yıllık FAVÖK Değişimi]]&lt;0,0,(Tablo1[[#This Row],[Yıllık FAVÖK Değişimi]]/MAX(Tablo1[Yıllık FAVÖK Değişimi]))*10),"")</f>
        <v>0</v>
      </c>
      <c r="AD17" s="10">
        <f>IFERROR(IF(Tablo1[[#This Row],[Yıllık Satışlar Değişimi]]&lt;0,0,(Tablo1[[#This Row],[Yıllık Satışlar Değişimi]]/MAX(Tablo1[Yıllık Satışlar Değişimi]))*10),"")</f>
        <v>4.0875415140935019</v>
      </c>
      <c r="AF17" s="28">
        <v>33.380000000000003</v>
      </c>
    </row>
    <row r="18" spans="2:32" ht="21.95" customHeight="1" thickTop="1" thickBot="1" x14ac:dyDescent="0.3">
      <c r="B18" s="15" t="str">
        <f>+data!A17</f>
        <v>KENT</v>
      </c>
      <c r="C18" s="22">
        <f>+data!B17/100</f>
        <v>0.55220000000000002</v>
      </c>
      <c r="D18" s="8">
        <f>IF(data!C17&lt;0,"",data!C17)</f>
        <v>56.98</v>
      </c>
      <c r="E18" s="8">
        <f>IF(data!D17="","",data!D17)</f>
        <v>129.51</v>
      </c>
      <c r="F18" s="8">
        <f>IF(data!E17="","",data!E17)</f>
        <v>79.94</v>
      </c>
      <c r="G18" s="8">
        <f>IF(data!F17="","",data!F17)</f>
        <v>12.69</v>
      </c>
      <c r="H18" s="8">
        <f>IF(data!G17="","",data!G17)</f>
        <v>0.55000000000000004</v>
      </c>
      <c r="I18" s="23">
        <f>IF(data!H17/100="","",data!H17/100)</f>
        <v>0.74529999999999996</v>
      </c>
      <c r="J18" s="6">
        <f>IF(data!I17/100=0,"",data!I17/100)</f>
        <v>3.9183999999999997</v>
      </c>
      <c r="K18" s="6">
        <f>IF(data!J17/100="","",data!J17/100)</f>
        <v>2.9737</v>
      </c>
      <c r="L18" s="6">
        <f>IF(data!K17/100="","",data!K17/100)</f>
        <v>1.0603</v>
      </c>
      <c r="N18" s="17">
        <f>(AF18-data!M17)/AF18</f>
        <v>0.34153005464480873</v>
      </c>
      <c r="T18" s="27">
        <f t="shared" si="2"/>
        <v>20.02114540272396</v>
      </c>
      <c r="U18" s="10">
        <f>IF(Tablo1[[#This Row],[Özkaynak Karlılığı]]&lt;0,0,(Tablo1[[#This Row],[Özkaynak Karlılığı]]/MAX(Tablo1[Özkaynak Karlılığı]))*10)</f>
        <v>4.1618932770575823</v>
      </c>
      <c r="V18" s="10">
        <f>(MIN(Tablo1[PD/DD])/Tablo1[[#This Row],[PD/DD]])*10</f>
        <v>0.12811512811512812</v>
      </c>
      <c r="W18" s="10">
        <f>IFERROR((MIN(Tablo1[F/K])/Tablo1[[#This Row],[F/K]])*10,"")</f>
        <v>0.38375415025866727</v>
      </c>
      <c r="X18" s="10">
        <f>IFERROR((MIN(Tablo1[FD/FAVÖK])/Tablo1[[#This Row],[FD/FAVÖK]])*10,"")</f>
        <v>0.40405303977983487</v>
      </c>
      <c r="Y18" s="10">
        <f>IFERROR((MIN(Tablo1[FD/Satış])/Tablo1[[#This Row],[FD/Satış]])*10,"")</f>
        <v>0.19700551615445233</v>
      </c>
      <c r="Z18" s="10">
        <f>IFERROR((MIN(Tablo1[PEG])/Tablo1[[#This Row],[PEG]])*10,"")</f>
        <v>0.18181818181818182</v>
      </c>
      <c r="AA18" s="10">
        <f>(Tablo1[[#This Row],[ROIC]]/MAX(Tablo1[ROIC]))*10</f>
        <v>1.3888267740011926</v>
      </c>
      <c r="AB18" s="10">
        <f>IFERROR(IF(Tablo1[[#This Row],[Yıllık Net Kar Değişimi]]&lt;0,0,(Tablo1[[#This Row],[Yıllık Net Kar Değişimi]]/MAX(Tablo1[Yıllık Net Kar Değişimi]))*10),"")</f>
        <v>7.6633028240632086</v>
      </c>
      <c r="AC18" s="10">
        <f>IFERROR(IF(Tablo1[[#This Row],[Yıllık FAVÖK Değişimi]]&lt;0,0,(Tablo1[[#This Row],[Yıllık FAVÖK Değişimi]]/MAX(Tablo1[Yıllık FAVÖK Değişimi]))*10),"")</f>
        <v>0.99777206627431769</v>
      </c>
      <c r="AD18" s="10">
        <f>IFERROR(IF(Tablo1[[#This Row],[Yıllık Satışlar Değişimi]]&lt;0,0,(Tablo1[[#This Row],[Yıllık Satışlar Değişimi]]/MAX(Tablo1[Yıllık Satışlar Değişimi]))*10),"")</f>
        <v>4.514604445201396</v>
      </c>
      <c r="AF18" s="28">
        <f>SUMIFS([1]!Tablo1[Hisse Fiyatı],[1]!Tablo1[Hisse],Tablo1[[#This Row],[Şirket]],[1]!Tablo1[Dönem],$R$2)</f>
        <v>732</v>
      </c>
    </row>
    <row r="19" spans="2:32" ht="21.95" customHeight="1" thickTop="1" thickBot="1" x14ac:dyDescent="0.3">
      <c r="B19" s="15" t="str">
        <f>+data!A18</f>
        <v>KERVT</v>
      </c>
      <c r="C19" s="22">
        <f>+data!B18/100</f>
        <v>0.28449999999999998</v>
      </c>
      <c r="D19" s="8">
        <f>IF(data!C18&lt;0,"",data!C18)</f>
        <v>1.86</v>
      </c>
      <c r="E19" s="8">
        <f>IF(data!D18="","",data!D18)</f>
        <v>7.83</v>
      </c>
      <c r="F19" s="8">
        <f>IF(data!E18="","",data!E18)</f>
        <v>4.53</v>
      </c>
      <c r="G19" s="8">
        <f>IF(data!F18="","",data!F18)</f>
        <v>0.55000000000000004</v>
      </c>
      <c r="H19" s="8" t="str">
        <f>IF(data!G18="","",data!G18)</f>
        <v/>
      </c>
      <c r="I19" s="23">
        <f>IF(data!H18/100="","",data!H18/100)</f>
        <v>0.38689999999999997</v>
      </c>
      <c r="J19" s="6">
        <f>IF(data!I18/100=0,"",data!I18/100)</f>
        <v>-0.56879999999999997</v>
      </c>
      <c r="K19" s="6">
        <f>IF(data!J18/100="","",data!J18/100)</f>
        <v>-9.3800000000000008E-2</v>
      </c>
      <c r="L19" s="6">
        <f>IF(data!K18/100="","",data!K18/100)</f>
        <v>0.25920000000000004</v>
      </c>
      <c r="N19" s="17">
        <f>(AF19-data!M18)/AF19</f>
        <v>0.15611061552185548</v>
      </c>
      <c r="T19" s="27">
        <f t="shared" si="2"/>
        <v>25.916670987383732</v>
      </c>
      <c r="U19" s="10">
        <f>IF(Tablo1[[#This Row],[Özkaynak Karlılığı]]&lt;0,0,(Tablo1[[#This Row],[Özkaynak Karlılığı]]/MAX(Tablo1[Özkaynak Karlılığı]))*10)</f>
        <v>2.1442568586071751</v>
      </c>
      <c r="V19" s="10">
        <f>(MIN(Tablo1[PD/DD])/Tablo1[[#This Row],[PD/DD]])*10</f>
        <v>3.924731182795699</v>
      </c>
      <c r="W19" s="10">
        <f>IFERROR((MIN(Tablo1[F/K])/Tablo1[[#This Row],[F/K]])*10,"")</f>
        <v>6.3473818646232436</v>
      </c>
      <c r="X19" s="10">
        <f>IFERROR((MIN(Tablo1[FD/FAVÖK])/Tablo1[[#This Row],[FD/FAVÖK]])*10,"")</f>
        <v>7.1302428256070636</v>
      </c>
      <c r="Y19" s="10">
        <f>IFERROR((MIN(Tablo1[FD/Satış])/Tablo1[[#This Row],[FD/Satış]])*10,"")</f>
        <v>4.545454545454545</v>
      </c>
      <c r="Z19" s="10" t="str">
        <f>IFERROR((MIN(Tablo1[PEG])/Tablo1[[#This Row],[PEG]])*10,"")</f>
        <v/>
      </c>
      <c r="AA19" s="10">
        <f>(Tablo1[[#This Row],[ROIC]]/MAX(Tablo1[ROIC]))*10</f>
        <v>0.72096750149075728</v>
      </c>
      <c r="AB19" s="10">
        <f>IFERROR(IF(Tablo1[[#This Row],[Yıllık Net Kar Değişimi]]&lt;0,0,(Tablo1[[#This Row],[Yıllık Net Kar Değişimi]]/MAX(Tablo1[Yıllık Net Kar Değişimi]))*10),"")</f>
        <v>0</v>
      </c>
      <c r="AC19" s="10">
        <f>IFERROR(IF(Tablo1[[#This Row],[Yıllık FAVÖK Değişimi]]&lt;0,0,(Tablo1[[#This Row],[Yıllık FAVÖK Değişimi]]/MAX(Tablo1[Yıllık FAVÖK Değişimi]))*10),"")</f>
        <v>0</v>
      </c>
      <c r="AD19" s="10">
        <f>IFERROR(IF(Tablo1[[#This Row],[Yıllık Satışlar Değişimi]]&lt;0,0,(Tablo1[[#This Row],[Yıllık Satışlar Değişimi]]/MAX(Tablo1[Yıllık Satışlar Değişimi]))*10),"")</f>
        <v>1.1036362088052458</v>
      </c>
      <c r="AF19" s="5">
        <f>SUMIFS([1]!Tablo1[Hisse Fiyatı],[1]!Tablo1[Hisse],Tablo1[[#This Row],[Şirket]],[1]!Tablo1[Dönem],$R$2)</f>
        <v>11.21</v>
      </c>
    </row>
    <row r="20" spans="2:32" ht="21.95" customHeight="1" thickTop="1" thickBot="1" x14ac:dyDescent="0.3">
      <c r="B20" s="15" t="str">
        <f>+data!A19</f>
        <v>KNFRT</v>
      </c>
      <c r="C20" s="22">
        <f>+data!B19/100</f>
        <v>0.3624</v>
      </c>
      <c r="D20" s="8">
        <f>IF(data!C19&lt;0,"",data!C19)</f>
        <v>5.49</v>
      </c>
      <c r="E20" s="8">
        <f>IF(data!D19="","",data!D19)</f>
        <v>17.96</v>
      </c>
      <c r="F20" s="8">
        <f>IF(data!E19="","",data!E19)</f>
        <v>8.83</v>
      </c>
      <c r="G20" s="8">
        <f>IF(data!F19="","",data!F19)</f>
        <v>1.08</v>
      </c>
      <c r="H20" s="8">
        <f>IF(data!G19="","",data!G19)</f>
        <v>7.5</v>
      </c>
      <c r="I20" s="23">
        <f>IF(data!H19/100="","",data!H19/100)</f>
        <v>0.62390000000000001</v>
      </c>
      <c r="J20" s="6">
        <f>IF(data!I19/100=0,"",data!I19/100)</f>
        <v>9.5199999999999993E-2</v>
      </c>
      <c r="K20" s="6">
        <f>IF(data!J19/100="","",data!J19/100)</f>
        <v>0.47700000000000004</v>
      </c>
      <c r="L20" s="6">
        <f>IF(data!K19/100="","",data!K19/100)</f>
        <v>0.34429999999999999</v>
      </c>
      <c r="N20" s="17">
        <f>(AF20-data!M19)/AF20</f>
        <v>0.21843853820598</v>
      </c>
      <c r="T20" s="27">
        <f t="shared" si="2"/>
        <v>15.789284714542458</v>
      </c>
      <c r="U20" s="10">
        <f>IF(Tablo1[[#This Row],[Özkaynak Karlılığı]]&lt;0,0,(Tablo1[[#This Row],[Özkaynak Karlılığı]]/MAX(Tablo1[Özkaynak Karlılığı]))*10)</f>
        <v>2.7313837805245704</v>
      </c>
      <c r="V20" s="10">
        <f>(MIN(Tablo1[PD/DD])/Tablo1[[#This Row],[PD/DD]])*10</f>
        <v>1.3296903460837886</v>
      </c>
      <c r="W20" s="10">
        <f>IFERROR((MIN(Tablo1[F/K])/Tablo1[[#This Row],[F/K]])*10,"")</f>
        <v>2.7672605790645877</v>
      </c>
      <c r="X20" s="10">
        <f>IFERROR((MIN(Tablo1[FD/FAVÖK])/Tablo1[[#This Row],[FD/FAVÖK]])*10,"")</f>
        <v>3.6579841449603623</v>
      </c>
      <c r="Y20" s="10">
        <f>IFERROR((MIN(Tablo1[FD/Satış])/Tablo1[[#This Row],[FD/Satış]])*10,"")</f>
        <v>2.3148148148148144</v>
      </c>
      <c r="Z20" s="10">
        <f>IFERROR((MIN(Tablo1[PEG])/Tablo1[[#This Row],[PEG]])*10,"")</f>
        <v>1.3333333333333332E-2</v>
      </c>
      <c r="AA20" s="10">
        <f>(Tablo1[[#This Row],[ROIC]]/MAX(Tablo1[ROIC]))*10</f>
        <v>1.1626043530113299</v>
      </c>
      <c r="AB20" s="10">
        <f>IFERROR(IF(Tablo1[[#This Row],[Yıllık Net Kar Değişimi]]&lt;0,0,(Tablo1[[#This Row],[Yıllık Net Kar Değişimi]]/MAX(Tablo1[Yıllık Net Kar Değişimi]))*10),"")</f>
        <v>0.18618477665649691</v>
      </c>
      <c r="AC20" s="10">
        <f>IFERROR(IF(Tablo1[[#This Row],[Yıllık FAVÖK Değişimi]]&lt;0,0,(Tablo1[[#This Row],[Yıllık FAVÖK Değişimi]]/MAX(Tablo1[Yıllık FAVÖK Değişimi]))*10),"")</f>
        <v>0.16004885348651496</v>
      </c>
      <c r="AD20" s="10">
        <f>IFERROR(IF(Tablo1[[#This Row],[Yıllık Satışlar Değişimi]]&lt;0,0,(Tablo1[[#This Row],[Yıllık Satışlar Değişimi]]/MAX(Tablo1[Yıllık Satışlar Değişimi]))*10),"")</f>
        <v>1.465979732606659</v>
      </c>
      <c r="AF20" s="5">
        <f>SUMIFS([1]!Tablo1[Hisse Fiyatı],[1]!Tablo1[Hisse],Tablo1[[#This Row],[Şirket]],[1]!Tablo1[Dönem],$R$2)</f>
        <v>24.08</v>
      </c>
    </row>
    <row r="21" spans="2:32" ht="21.95" customHeight="1" thickTop="1" thickBot="1" x14ac:dyDescent="0.3">
      <c r="B21" s="15" t="str">
        <f>+data!A20</f>
        <v>KRSTL</v>
      </c>
      <c r="C21" s="22">
        <f>+data!B20/100</f>
        <v>0.24350000000000002</v>
      </c>
      <c r="D21" s="8">
        <f>IF(data!C20&lt;0,"",data!C20)</f>
        <v>6.19</v>
      </c>
      <c r="E21" s="8">
        <f>IF(data!D20="","",data!D20)</f>
        <v>31.54</v>
      </c>
      <c r="F21" s="8">
        <f>IF(data!E20="","",data!E20)</f>
        <v>28.22</v>
      </c>
      <c r="G21" s="8">
        <f>IF(data!F20="","",data!F20)</f>
        <v>2.2400000000000002</v>
      </c>
      <c r="H21" s="8">
        <f>IF(data!G20="","",data!G20)</f>
        <v>0.17</v>
      </c>
      <c r="I21" s="23">
        <f>IF(data!H20/100="","",data!H20/100)</f>
        <v>0.23980000000000001</v>
      </c>
      <c r="J21" s="6">
        <f>IF(data!I20/100=0,"",data!I20/100)</f>
        <v>1.5256000000000001</v>
      </c>
      <c r="K21" s="6">
        <f>IF(data!J20/100="","",data!J20/100)</f>
        <v>3.3660000000000001</v>
      </c>
      <c r="L21" s="6">
        <f>IF(data!K20/100="","",data!K20/100)</f>
        <v>0.92079999999999995</v>
      </c>
      <c r="N21" s="17">
        <f>(AF21-data!M20)/AF21</f>
        <v>-0.27493261455525592</v>
      </c>
      <c r="T21" s="27">
        <f t="shared" si="2"/>
        <v>15.919765577625125</v>
      </c>
      <c r="U21" s="10">
        <f>IF(Tablo1[[#This Row],[Özkaynak Karlılığı]]&lt;0,0,(Tablo1[[#This Row],[Özkaynak Karlılığı]]/MAX(Tablo1[Özkaynak Karlılığı]))*10)</f>
        <v>1.8352426891769675</v>
      </c>
      <c r="V21" s="10">
        <f>(MIN(Tablo1[PD/DD])/Tablo1[[#This Row],[PD/DD]])*10</f>
        <v>1.1793214862681742</v>
      </c>
      <c r="W21" s="10">
        <f>IFERROR((MIN(Tablo1[F/K])/Tablo1[[#This Row],[F/K]])*10,"")</f>
        <v>1.5757767913760303</v>
      </c>
      <c r="X21" s="10">
        <f>IFERROR((MIN(Tablo1[FD/FAVÖK])/Tablo1[[#This Row],[FD/FAVÖK]])*10,"")</f>
        <v>1.1445783132530121</v>
      </c>
      <c r="Y21" s="10">
        <f>IFERROR((MIN(Tablo1[FD/Satış])/Tablo1[[#This Row],[FD/Satış]])*10,"")</f>
        <v>1.1160714285714284</v>
      </c>
      <c r="Z21" s="10">
        <f>IFERROR((MIN(Tablo1[PEG])/Tablo1[[#This Row],[PEG]])*10,"")</f>
        <v>0.58823529411764708</v>
      </c>
      <c r="AA21" s="10">
        <f>(Tablo1[[#This Row],[ROIC]]/MAX(Tablo1[ROIC]))*10</f>
        <v>0.44685450208706023</v>
      </c>
      <c r="AB21" s="10">
        <f>IFERROR(IF(Tablo1[[#This Row],[Yıllık Net Kar Değişimi]]&lt;0,0,(Tablo1[[#This Row],[Yıllık Net Kar Değişimi]]/MAX(Tablo1[Yıllık Net Kar Değişimi]))*10),"")</f>
        <v>2.9836501603692405</v>
      </c>
      <c r="AC21" s="10">
        <f>IFERROR(IF(Tablo1[[#This Row],[Yıllık FAVÖK Değişimi]]&lt;0,0,(Tablo1[[#This Row],[Yıllık FAVÖK Değişimi]]/MAX(Tablo1[Yıllık FAVÖK Değişimi]))*10),"")</f>
        <v>1.1294013434708792</v>
      </c>
      <c r="AD21" s="10">
        <f>IFERROR(IF(Tablo1[[#This Row],[Yıllık Satışlar Değişimi]]&lt;0,0,(Tablo1[[#This Row],[Yıllık Satışlar Değişimi]]/MAX(Tablo1[Yıllık Satışlar Değişimi]))*10),"")</f>
        <v>3.9206335689346838</v>
      </c>
      <c r="AF21" s="5">
        <f>SUMIFS([1]!Tablo1[Hisse Fiyatı],[1]!Tablo1[Hisse],Tablo1[[#This Row],[Şirket]],[1]!Tablo1[Dönem],$R$2)</f>
        <v>11.13</v>
      </c>
    </row>
    <row r="22" spans="2:32" ht="21.95" customHeight="1" thickTop="1" thickBot="1" x14ac:dyDescent="0.3">
      <c r="B22" s="15" t="str">
        <f>+data!A21</f>
        <v>KRVGD</v>
      </c>
      <c r="C22" s="22">
        <f>+data!B21/100</f>
        <v>0.24280000000000002</v>
      </c>
      <c r="D22" s="8">
        <f>IF(data!C21&lt;0,"",data!C21)</f>
        <v>2.4300000000000002</v>
      </c>
      <c r="E22" s="8">
        <f>IF(data!D21="","",data!D21)</f>
        <v>12.31</v>
      </c>
      <c r="F22" s="8">
        <f>IF(data!E21="","",data!E21)</f>
        <v>7.19</v>
      </c>
      <c r="G22" s="8">
        <f>IF(data!F21="","",data!F21)</f>
        <v>1.05</v>
      </c>
      <c r="H22" s="8">
        <f>IF(data!G21="","",data!G21)</f>
        <v>0.12</v>
      </c>
      <c r="I22" s="23">
        <f>IF(data!H21/100="","",data!H21/100)</f>
        <v>0.51380000000000003</v>
      </c>
      <c r="J22" s="6">
        <f>IF(data!I21/100=0,"",data!I21/100)</f>
        <v>-1.8500000000000003E-2</v>
      </c>
      <c r="K22" s="6">
        <f>IF(data!J21/100="","",data!J21/100)</f>
        <v>0.67049999999999998</v>
      </c>
      <c r="L22" s="6">
        <f>IF(data!K21/100="","",data!K21/100)</f>
        <v>0.50680000000000003</v>
      </c>
      <c r="N22" s="17">
        <f>(AF22-data!M21)/AF22</f>
        <v>0.13472803347280332</v>
      </c>
      <c r="T22" s="27">
        <f t="shared" si="2"/>
        <v>19.918380760135374</v>
      </c>
      <c r="U22" s="10">
        <f>IF(Tablo1[[#This Row],[Özkaynak Karlılığı]]&lt;0,0,(Tablo1[[#This Row],[Özkaynak Karlılığı]]/MAX(Tablo1[Özkaynak Karlılığı]))*10)</f>
        <v>1.8299668375037688</v>
      </c>
      <c r="V22" s="10">
        <f>(MIN(Tablo1[PD/DD])/Tablo1[[#This Row],[PD/DD]])*10</f>
        <v>3.004115226337448</v>
      </c>
      <c r="W22" s="10">
        <f>IFERROR((MIN(Tablo1[F/K])/Tablo1[[#This Row],[F/K]])*10,"")</f>
        <v>4.0373679935012179</v>
      </c>
      <c r="X22" s="10">
        <f>IFERROR((MIN(Tablo1[FD/FAVÖK])/Tablo1[[#This Row],[FD/FAVÖK]])*10,"")</f>
        <v>4.4923504867872044</v>
      </c>
      <c r="Y22" s="10">
        <f>IFERROR((MIN(Tablo1[FD/Satış])/Tablo1[[#This Row],[FD/Satış]])*10,"")</f>
        <v>2.3809523809523809</v>
      </c>
      <c r="Z22" s="10">
        <f>IFERROR((MIN(Tablo1[PEG])/Tablo1[[#This Row],[PEG]])*10,"")</f>
        <v>0.83333333333333348</v>
      </c>
      <c r="AA22" s="10">
        <f>(Tablo1[[#This Row],[ROIC]]/MAX(Tablo1[ROIC]))*10</f>
        <v>0.95743887895050706</v>
      </c>
      <c r="AB22" s="10">
        <f>IFERROR(IF(Tablo1[[#This Row],[Yıllık Net Kar Değişimi]]&lt;0,0,(Tablo1[[#This Row],[Yıllık Net Kar Değişimi]]/MAX(Tablo1[Yıllık Net Kar Değişimi]))*10),"")</f>
        <v>0</v>
      </c>
      <c r="AC22" s="10">
        <f>IFERROR(IF(Tablo1[[#This Row],[Yıllık FAVÖK Değişimi]]&lt;0,0,(Tablo1[[#This Row],[Yıllık FAVÖK Değişimi]]/MAX(Tablo1[Yıllık FAVÖK Değişimi]))*10),"")</f>
        <v>0.22497433178764836</v>
      </c>
      <c r="AD22" s="10">
        <f>IFERROR(IF(Tablo1[[#This Row],[Yıllık Satışlar Değişimi]]&lt;0,0,(Tablo1[[#This Row],[Yıllık Satışlar Değişimi]]/MAX(Tablo1[Yıllık Satışlar Değişimi]))*10),"")</f>
        <v>2.1578812909818614</v>
      </c>
      <c r="AF22" s="5">
        <f>SUMIFS([1]!Tablo1[Hisse Fiyatı],[1]!Tablo1[Hisse],Tablo1[[#This Row],[Şirket]],[1]!Tablo1[Dönem],$R$2)</f>
        <v>23.9</v>
      </c>
    </row>
    <row r="23" spans="2:32" ht="21.95" customHeight="1" thickTop="1" thickBot="1" x14ac:dyDescent="0.3">
      <c r="B23" s="15" t="str">
        <f>+data!A22</f>
        <v>KTSKR</v>
      </c>
      <c r="C23" s="22">
        <f>+data!B22/100</f>
        <v>0.39750000000000002</v>
      </c>
      <c r="D23" s="8">
        <f>IF(data!C22&lt;0,"",data!C22)</f>
        <v>1.86</v>
      </c>
      <c r="E23" s="8">
        <f>IF(data!D22="","",data!D22)</f>
        <v>6.3</v>
      </c>
      <c r="F23" s="8">
        <f>IF(data!E22="","",data!E22)</f>
        <v>10.89</v>
      </c>
      <c r="G23" s="8">
        <f>IF(data!F22="","",data!F22)</f>
        <v>2.89</v>
      </c>
      <c r="H23" s="8">
        <f>IF(data!G22="","",data!G22)</f>
        <v>0.06</v>
      </c>
      <c r="I23" s="23">
        <f>IF(data!H22/100="","",data!H22/100)</f>
        <v>0.1211</v>
      </c>
      <c r="J23" s="6">
        <f>IF(data!I22/100=0,"",data!I22/100)</f>
        <v>0.1585</v>
      </c>
      <c r="K23" s="6">
        <f>IF(data!J22/100="","",data!J22/100)</f>
        <v>0.32229999999999998</v>
      </c>
      <c r="L23" s="6">
        <f>IF(data!K22/100="","",data!K22/100)</f>
        <v>1.6354</v>
      </c>
      <c r="N23" s="17">
        <f>(AF23-data!M22)/AF23</f>
        <v>7.7922077922077948E-2</v>
      </c>
      <c r="T23" s="27">
        <f t="shared" si="2"/>
        <v>27.914377275767418</v>
      </c>
      <c r="U23" s="10">
        <f>IF(Tablo1[[#This Row],[Özkaynak Karlılığı]]&lt;0,0,(Tablo1[[#This Row],[Özkaynak Karlılığı]]/MAX(Tablo1[Özkaynak Karlılığı]))*10)</f>
        <v>2.9959300572806757</v>
      </c>
      <c r="V23" s="10">
        <f>(MIN(Tablo1[PD/DD])/Tablo1[[#This Row],[PD/DD]])*10</f>
        <v>3.924731182795699</v>
      </c>
      <c r="W23" s="10">
        <f>IFERROR((MIN(Tablo1[F/K])/Tablo1[[#This Row],[F/K]])*10,"")</f>
        <v>7.8888888888888884</v>
      </c>
      <c r="X23" s="10">
        <f>IFERROR((MIN(Tablo1[FD/FAVÖK])/Tablo1[[#This Row],[FD/FAVÖK]])*10,"")</f>
        <v>2.966023875114784</v>
      </c>
      <c r="Y23" s="10">
        <f>IFERROR((MIN(Tablo1[FD/Satış])/Tablo1[[#This Row],[FD/Satış]])*10,"")</f>
        <v>0.86505190311418678</v>
      </c>
      <c r="Z23" s="10">
        <f>IFERROR((MIN(Tablo1[PEG])/Tablo1[[#This Row],[PEG]])*10,"")</f>
        <v>1.666666666666667</v>
      </c>
      <c r="AA23" s="10">
        <f>(Tablo1[[#This Row],[ROIC]]/MAX(Tablo1[ROIC]))*10</f>
        <v>0.22566338700059629</v>
      </c>
      <c r="AB23" s="10">
        <f>IFERROR(IF(Tablo1[[#This Row],[Yıllık Net Kar Değişimi]]&lt;0,0,(Tablo1[[#This Row],[Yıllık Net Kar Değişimi]]/MAX(Tablo1[Yıllık Net Kar Değişimi]))*10),"")</f>
        <v>0.30998200735351639</v>
      </c>
      <c r="AC23" s="10">
        <f>IFERROR(IF(Tablo1[[#This Row],[Yıllık FAVÖK Değişimi]]&lt;0,0,(Tablo1[[#This Row],[Yıllık FAVÖK Değişimi]]/MAX(Tablo1[Yıllık FAVÖK Değişimi]))*10),"")</f>
        <v>0.10814202406436849</v>
      </c>
      <c r="AD23" s="10">
        <f>IFERROR(IF(Tablo1[[#This Row],[Yıllık Satışlar Değişimi]]&lt;0,0,(Tablo1[[#This Row],[Yıllık Satışlar Değişimi]]/MAX(Tablo1[Yıllık Satışlar Değişimi]))*10),"")</f>
        <v>6.9632972834880347</v>
      </c>
      <c r="AF23" s="5">
        <f>SUMIFS([1]!Tablo1[Hisse Fiyatı],[1]!Tablo1[Hisse],Tablo1[[#This Row],[Şirket]],[1]!Tablo1[Dönem],$R$2)</f>
        <v>73.150000000000006</v>
      </c>
    </row>
    <row r="24" spans="2:32" ht="21.95" customHeight="1" thickTop="1" thickBot="1" x14ac:dyDescent="0.3">
      <c r="B24" s="15" t="str">
        <f>+data!A23</f>
        <v>OFSYM</v>
      </c>
      <c r="C24" s="22">
        <f>+data!B23/100</f>
        <v>0.53170000000000006</v>
      </c>
      <c r="D24" s="8">
        <f>IF(data!C23&lt;0,"",data!C23)</f>
        <v>5.21</v>
      </c>
      <c r="E24" s="8">
        <f>IF(data!D23="","",data!D23)</f>
        <v>19.59</v>
      </c>
      <c r="F24" s="8">
        <f>IF(data!E23="","",data!E23)</f>
        <v>13.31</v>
      </c>
      <c r="G24" s="8">
        <f>IF(data!F23="","",data!F23)</f>
        <v>0.88</v>
      </c>
      <c r="H24" s="8">
        <f>IF(data!G23="","",data!G23)</f>
        <v>0.26</v>
      </c>
      <c r="I24" s="23">
        <f>IF(data!H23/100="","",data!H23/100)</f>
        <v>0.75700000000000001</v>
      </c>
      <c r="J24" s="6">
        <f>IF(data!I23/100=0,"",data!I23/100)</f>
        <v>8.6400000000000005E-2</v>
      </c>
      <c r="K24" s="6">
        <f>IF(data!J23/100="","",data!J23/100)</f>
        <v>8.6599999999999996E-2</v>
      </c>
      <c r="L24" s="6">
        <f>IF(data!K23/100="","",data!K23/100)</f>
        <v>0.13339999999999999</v>
      </c>
      <c r="N24" s="17">
        <f>(AF24-data!M23)/AF24</f>
        <v>0.28280358598207012</v>
      </c>
      <c r="T24" s="27">
        <f t="shared" si="2"/>
        <v>15.774476346562528</v>
      </c>
      <c r="U24" s="10">
        <f>IF(Tablo1[[#This Row],[Özkaynak Karlılığı]]&lt;0,0,(Tablo1[[#This Row],[Özkaynak Karlılığı]]/MAX(Tablo1[Özkaynak Karlılığı]))*10)</f>
        <v>4.0073861923424783</v>
      </c>
      <c r="V24" s="10">
        <f>(MIN(Tablo1[PD/DD])/Tablo1[[#This Row],[PD/DD]])*10</f>
        <v>1.4011516314779271</v>
      </c>
      <c r="W24" s="10">
        <f>IFERROR((MIN(Tablo1[F/K])/Tablo1[[#This Row],[F/K]])*10,"")</f>
        <v>2.5370086778968859</v>
      </c>
      <c r="X24" s="10">
        <f>IFERROR((MIN(Tablo1[FD/FAVÖK])/Tablo1[[#This Row],[FD/FAVÖK]])*10,"")</f>
        <v>2.4267468069120959</v>
      </c>
      <c r="Y24" s="10">
        <f>IFERROR((MIN(Tablo1[FD/Satış])/Tablo1[[#This Row],[FD/Satış]])*10,"")</f>
        <v>2.8409090909090913</v>
      </c>
      <c r="Z24" s="10">
        <f>IFERROR((MIN(Tablo1[PEG])/Tablo1[[#This Row],[PEG]])*10,"")</f>
        <v>0.38461538461538464</v>
      </c>
      <c r="AA24" s="10">
        <f>(Tablo1[[#This Row],[ROIC]]/MAX(Tablo1[ROIC]))*10</f>
        <v>1.4106290995825881</v>
      </c>
      <c r="AB24" s="10">
        <f>IFERROR(IF(Tablo1[[#This Row],[Yıllık Net Kar Değişimi]]&lt;0,0,(Tablo1[[#This Row],[Yıllık Net Kar Değişimi]]/MAX(Tablo1[Yıllık Net Kar Değişimi]))*10),"")</f>
        <v>0.16897441915043418</v>
      </c>
      <c r="AC24" s="10">
        <f>IFERROR(IF(Tablo1[[#This Row],[Yıllık FAVÖK Değişimi]]&lt;0,0,(Tablo1[[#This Row],[Yıllık FAVÖK Değişimi]]/MAX(Tablo1[Yıllık FAVÖK Değişimi]))*10),"")</f>
        <v>2.9057087446398733E-2</v>
      </c>
      <c r="AD24" s="10">
        <f>IFERROR(IF(Tablo1[[#This Row],[Yıllık Satışlar Değişimi]]&lt;0,0,(Tablo1[[#This Row],[Yıllık Satışlar Değişimi]]/MAX(Tablo1[Yıllık Satışlar Değişimi]))*10),"")</f>
        <v>0.56799795622924287</v>
      </c>
      <c r="AF24" s="28">
        <v>61.35</v>
      </c>
    </row>
    <row r="25" spans="2:32" ht="21.95" customHeight="1" thickTop="1" thickBot="1" x14ac:dyDescent="0.3">
      <c r="B25" s="15" t="str">
        <f>+data!A24</f>
        <v>ORCAY</v>
      </c>
      <c r="C25" s="22">
        <f>+data!B24/100</f>
        <v>0.3281</v>
      </c>
      <c r="D25" s="8">
        <f>IF(data!C24&lt;0,"",data!C24)</f>
        <v>2.85</v>
      </c>
      <c r="E25" s="8">
        <f>IF(data!D24="","",data!D24)</f>
        <v>11.1</v>
      </c>
      <c r="F25" s="8">
        <f>IF(data!E24="","",data!E24)</f>
        <v>7.51</v>
      </c>
      <c r="G25" s="8">
        <f>IF(data!F24="","",data!F24)</f>
        <v>2.15</v>
      </c>
      <c r="H25" s="8">
        <f>IF(data!G24="","",data!G24)</f>
        <v>0.11</v>
      </c>
      <c r="I25" s="23">
        <f>IF(data!H24/100="","",data!H24/100)</f>
        <v>0.48880000000000001</v>
      </c>
      <c r="J25" s="6">
        <f>IF(data!I24/100=0,"",data!I24/100)</f>
        <v>0.55969999999999998</v>
      </c>
      <c r="K25" s="6">
        <f>IF(data!J24/100="","",data!J24/100)</f>
        <v>1.2531000000000001</v>
      </c>
      <c r="L25" s="6">
        <f>IF(data!K24/100="","",data!K24/100)</f>
        <v>0.59409999999999996</v>
      </c>
      <c r="N25" s="17">
        <f>(AF25-data!M24)/AF25</f>
        <v>9.144542772861354E-2</v>
      </c>
      <c r="T25" s="27">
        <f t="shared" si="2"/>
        <v>20.840079778816019</v>
      </c>
      <c r="U25" s="10">
        <f>IF(Tablo1[[#This Row],[Özkaynak Karlılığı]]&lt;0,0,(Tablo1[[#This Row],[Özkaynak Karlılığı]]/MAX(Tablo1[Özkaynak Karlılığı]))*10)</f>
        <v>2.4728670485378355</v>
      </c>
      <c r="V25" s="10">
        <f>(MIN(Tablo1[PD/DD])/Tablo1[[#This Row],[PD/DD]])*10</f>
        <v>2.5614035087719293</v>
      </c>
      <c r="W25" s="10">
        <f>IFERROR((MIN(Tablo1[F/K])/Tablo1[[#This Row],[F/K]])*10,"")</f>
        <v>4.4774774774774775</v>
      </c>
      <c r="X25" s="10">
        <f>IFERROR((MIN(Tablo1[FD/FAVÖK])/Tablo1[[#This Row],[FD/FAVÖK]])*10,"")</f>
        <v>4.3009320905459383</v>
      </c>
      <c r="Y25" s="10">
        <f>IFERROR((MIN(Tablo1[FD/Satış])/Tablo1[[#This Row],[FD/Satış]])*10,"")</f>
        <v>1.1627906976744187</v>
      </c>
      <c r="Z25" s="10">
        <f>IFERROR((MIN(Tablo1[PEG])/Tablo1[[#This Row],[PEG]])*10,"")</f>
        <v>0.90909090909090917</v>
      </c>
      <c r="AA25" s="10">
        <f>(Tablo1[[#This Row],[ROIC]]/MAX(Tablo1[ROIC]))*10</f>
        <v>0.91085271317829464</v>
      </c>
      <c r="AB25" s="10">
        <f>IFERROR(IF(Tablo1[[#This Row],[Yıllık Net Kar Değişimi]]&lt;0,0,(Tablo1[[#This Row],[Yıllık Net Kar Değişimi]]/MAX(Tablo1[Yıllık Net Kar Değişimi]))*10),"")</f>
        <v>1.0946178518344676</v>
      </c>
      <c r="AC25" s="10">
        <f>IFERROR(IF(Tablo1[[#This Row],[Yıllık FAVÖK Değişimi]]&lt;0,0,(Tablo1[[#This Row],[Yıllık FAVÖK Değişimi]]/MAX(Tablo1[Yıllık FAVÖK Değişimi]))*10),"")</f>
        <v>0.4204553842850145</v>
      </c>
      <c r="AD25" s="10">
        <f>IFERROR(IF(Tablo1[[#This Row],[Yıllık Satışlar Değişimi]]&lt;0,0,(Tablo1[[#This Row],[Yıllık Satışlar Değişimi]]/MAX(Tablo1[Yıllık Satışlar Değişimi]))*10),"")</f>
        <v>2.529592097419739</v>
      </c>
      <c r="AF25" s="28">
        <f>SUMIFS([1]!Tablo1[Hisse Fiyatı],[1]!Tablo1[Hisse],Tablo1[[#This Row],[Şirket]],[1]!Tablo1[Dönem],$R$2)</f>
        <v>10.17</v>
      </c>
    </row>
    <row r="26" spans="2:32" ht="21.95" customHeight="1" thickTop="1" thickBot="1" x14ac:dyDescent="0.3">
      <c r="B26" s="15" t="str">
        <f>+data!A25</f>
        <v>OYLUM</v>
      </c>
      <c r="C26" s="22">
        <f>+data!B25/100</f>
        <v>0.46110000000000001</v>
      </c>
      <c r="D26" s="8">
        <f>IF(data!C25&lt;0,"",data!C25)</f>
        <v>2.0699999999999998</v>
      </c>
      <c r="E26" s="8">
        <f>IF(data!D25="","",data!D25)</f>
        <v>6.52</v>
      </c>
      <c r="F26" s="8">
        <f>IF(data!E25="","",data!E25)</f>
        <v>8.34</v>
      </c>
      <c r="G26" s="8">
        <f>IF(data!F25="","",data!F25)</f>
        <v>1.73</v>
      </c>
      <c r="H26" s="8">
        <f>IF(data!G25="","",data!G25)</f>
        <v>0.01</v>
      </c>
      <c r="I26" s="23">
        <f>IF(data!H25/100="","",data!H25/100)</f>
        <v>0.33630000000000004</v>
      </c>
      <c r="J26" s="6">
        <f>IF(data!I25/100=0,"",data!I25/100)</f>
        <v>4.4790999999999999</v>
      </c>
      <c r="K26" s="6">
        <f>IF(data!J25/100="","",data!J25/100)</f>
        <v>4.6294000000000004</v>
      </c>
      <c r="L26" s="6">
        <f>IF(data!K25/100="","",data!K25/100)</f>
        <v>0.6905</v>
      </c>
      <c r="N26" s="17">
        <f>(AF26-data!M25)/AF26</f>
        <v>1.6726403823177874E-2</v>
      </c>
      <c r="T26" s="27">
        <f t="shared" si="2"/>
        <v>43.822452285841393</v>
      </c>
      <c r="U26" s="10">
        <f>IF(Tablo1[[#This Row],[Özkaynak Karlılığı]]&lt;0,0,(Tablo1[[#This Row],[Özkaynak Karlılığı]]/MAX(Tablo1[Özkaynak Karlılığı]))*10)</f>
        <v>3.4752788664455836</v>
      </c>
      <c r="V26" s="10">
        <f>(MIN(Tablo1[PD/DD])/Tablo1[[#This Row],[PD/DD]])*10</f>
        <v>3.5265700483091789</v>
      </c>
      <c r="W26" s="10">
        <f>IFERROR((MIN(Tablo1[F/K])/Tablo1[[#This Row],[F/K]])*10,"")</f>
        <v>7.6226993865030677</v>
      </c>
      <c r="X26" s="10">
        <f>IFERROR((MIN(Tablo1[FD/FAVÖK])/Tablo1[[#This Row],[FD/FAVÖK]])*10,"")</f>
        <v>3.8729016786570742</v>
      </c>
      <c r="Y26" s="10">
        <f>IFERROR((MIN(Tablo1[FD/Satış])/Tablo1[[#This Row],[FD/Satış]])*10,"")</f>
        <v>1.4450867052023122</v>
      </c>
      <c r="Z26" s="10">
        <f>IFERROR((MIN(Tablo1[PEG])/Tablo1[[#This Row],[PEG]])*10,"")</f>
        <v>10</v>
      </c>
      <c r="AA26" s="10">
        <f>(Tablo1[[#This Row],[ROIC]]/MAX(Tablo1[ROIC]))*10</f>
        <v>0.6266771019677998</v>
      </c>
      <c r="AB26" s="10">
        <f>IFERROR(IF(Tablo1[[#This Row],[Yıllık Net Kar Değişimi]]&lt;0,0,(Tablo1[[#This Row],[Yıllık Net Kar Değişimi]]/MAX(Tablo1[Yıllık Net Kar Değişimi]))*10),"")</f>
        <v>8.7598763983415466</v>
      </c>
      <c r="AC26" s="10">
        <f>IFERROR(IF(Tablo1[[#This Row],[Yıllık FAVÖK Değişimi]]&lt;0,0,(Tablo1[[#This Row],[Yıllık FAVÖK Değişimi]]/MAX(Tablo1[Yıllık FAVÖK Değişimi]))*10),"")</f>
        <v>1.553312709288202</v>
      </c>
      <c r="AD26" s="10">
        <f>IFERROR(IF(Tablo1[[#This Row],[Yıllık Satışlar Değişimi]]&lt;0,0,(Tablo1[[#This Row],[Yıllık Satışlar Değişimi]]/MAX(Tablo1[Yıllık Satışlar Değişimi]))*10),"")</f>
        <v>2.9400493911266286</v>
      </c>
      <c r="AF26" s="5">
        <f>SUMIFS([1]!Tablo1[Hisse Fiyatı],[1]!Tablo1[Hisse],Tablo1[[#This Row],[Şirket]],[1]!Tablo1[Dönem],$R$2)</f>
        <v>8.3699999999999992</v>
      </c>
    </row>
    <row r="27" spans="2:32" ht="21.95" customHeight="1" thickTop="1" thickBot="1" x14ac:dyDescent="0.3">
      <c r="B27" s="15" t="str">
        <f>+data!A26</f>
        <v>PENGD</v>
      </c>
      <c r="C27" s="22">
        <f>+data!B26/100</f>
        <v>4.5599999999999995E-2</v>
      </c>
      <c r="D27" s="8">
        <f>IF(data!C26&lt;0,"",data!C26)</f>
        <v>0.73</v>
      </c>
      <c r="E27" s="8">
        <f>IF(data!D26="","",data!D26)</f>
        <v>22.23</v>
      </c>
      <c r="F27" s="8">
        <f>IF(data!E26="","",data!E26)</f>
        <v>14.23</v>
      </c>
      <c r="G27" s="8">
        <f>IF(data!F26="","",data!F26)</f>
        <v>1.46</v>
      </c>
      <c r="H27" s="8">
        <f>IF(data!G26="","",data!G26)</f>
        <v>681.17</v>
      </c>
      <c r="I27" s="23">
        <f>IF(data!H26/100="","",data!H26/100)</f>
        <v>9.2699999999999991E-2</v>
      </c>
      <c r="J27" s="6" t="str">
        <f>IF(data!I26/100=0,"",data!I26/100)</f>
        <v/>
      </c>
      <c r="K27" s="6">
        <f>IF(data!J26/100="","",data!J26/100)</f>
        <v>-0.22309999999999999</v>
      </c>
      <c r="L27" s="6">
        <f>IF(data!K26/100="","",data!K26/100)</f>
        <v>0.47100000000000003</v>
      </c>
      <c r="N27" s="29">
        <f>(AF27-data!M26)/AF27</f>
        <v>0.19354838709677424</v>
      </c>
      <c r="T27" s="27">
        <f t="shared" si="2"/>
        <v>18.739921106574087</v>
      </c>
      <c r="U27" s="10">
        <f>IF(Tablo1[[#This Row],[Özkaynak Karlılığı]]&lt;0,0,(Tablo1[[#This Row],[Özkaynak Karlılığı]]/MAX(Tablo1[Özkaynak Karlılığı]))*10)</f>
        <v>0.34368405185408502</v>
      </c>
      <c r="V27" s="10">
        <f>(MIN(Tablo1[PD/DD])/Tablo1[[#This Row],[PD/DD]])*10</f>
        <v>10</v>
      </c>
      <c r="W27" s="10">
        <f>IFERROR((MIN(Tablo1[F/K])/Tablo1[[#This Row],[F/K]])*10,"")</f>
        <v>2.2357174988753932</v>
      </c>
      <c r="X27" s="10">
        <f>IFERROR((MIN(Tablo1[FD/FAVÖK])/Tablo1[[#This Row],[FD/FAVÖK]])*10,"")</f>
        <v>2.2698524244553759</v>
      </c>
      <c r="Y27" s="10">
        <f>IFERROR((MIN(Tablo1[FD/Satış])/Tablo1[[#This Row],[FD/Satış]])*10,"")</f>
        <v>1.7123287671232876</v>
      </c>
      <c r="Z27" s="10">
        <f>IFERROR((MIN(Tablo1[PEG])/Tablo1[[#This Row],[PEG]])*10,"")</f>
        <v>1.4680623045642058E-4</v>
      </c>
      <c r="AA27" s="10">
        <f>(Tablo1[[#This Row],[ROIC]]/MAX(Tablo1[ROIC]))*10</f>
        <v>0.17274150268336314</v>
      </c>
      <c r="AB27" s="10" t="str">
        <f>IFERROR(IF(Tablo1[[#This Row],[Yıllık Net Kar Değişimi]]&lt;0,0,(Tablo1[[#This Row],[Yıllık Net Kar Değişimi]]/MAX(Tablo1[Yıllık Net Kar Değişimi]))*10),"")</f>
        <v/>
      </c>
      <c r="AC27" s="10">
        <f>IFERROR(IF(Tablo1[[#This Row],[Yıllık FAVÖK Değişimi]]&lt;0,0,(Tablo1[[#This Row],[Yıllık FAVÖK Değişimi]]/MAX(Tablo1[Yıllık FAVÖK Değişimi]))*10),"")</f>
        <v>0</v>
      </c>
      <c r="AD27" s="10">
        <f>IFERROR(IF(Tablo1[[#This Row],[Yıllık Satışlar Değişimi]]&lt;0,0,(Tablo1[[#This Row],[Yıllık Satışlar Değişimi]]/MAX(Tablo1[Yıllık Satışlar Değişimi]))*10),"")</f>
        <v>2.0054500553521244</v>
      </c>
      <c r="AF27" s="5">
        <f>SUMIFS([1]!Tablo1[Hisse Fiyatı],[1]!Tablo1[Hisse],Tablo1[[#This Row],[Şirket]],[1]!Tablo1[Dönem],$R$2)</f>
        <v>7.44</v>
      </c>
    </row>
    <row r="28" spans="2:32" ht="21.95" customHeight="1" thickTop="1" thickBot="1" x14ac:dyDescent="0.3">
      <c r="B28" s="15" t="str">
        <f>+data!A27</f>
        <v>PETUN</v>
      </c>
      <c r="C28" s="22">
        <f>+data!B27/100</f>
        <v>0.14760000000000001</v>
      </c>
      <c r="D28" s="8">
        <f>IF(data!C27&lt;0,"",data!C27)</f>
        <v>1.02</v>
      </c>
      <c r="E28" s="8">
        <f>IF(data!D27="","",data!D27)</f>
        <v>9.5</v>
      </c>
      <c r="F28" s="8">
        <f>IF(data!E27="","",data!E27)</f>
        <v>10.8</v>
      </c>
      <c r="G28" s="8">
        <f>IF(data!F27="","",data!F27)</f>
        <v>1</v>
      </c>
      <c r="H28" s="8">
        <f>IF(data!G27="","",data!G27)</f>
        <v>0.18</v>
      </c>
      <c r="I28" s="23">
        <f>IF(data!H27/100="","",data!H27/100)</f>
        <v>0.16500000000000001</v>
      </c>
      <c r="J28" s="6">
        <f>IF(data!I27/100=0,"",data!I27/100)</f>
        <v>-8.8399999999999992E-2</v>
      </c>
      <c r="K28" s="6">
        <f>IF(data!J27/100="","",data!J27/100)</f>
        <v>0.4703</v>
      </c>
      <c r="L28" s="6">
        <f>IF(data!K27/100="","",data!K27/100)</f>
        <v>0.86909999999999998</v>
      </c>
      <c r="N28" s="29">
        <f>(AF28-data!M27)/AF28</f>
        <v>6.7796610169491525E-2</v>
      </c>
      <c r="T28" s="24">
        <f t="shared" si="2"/>
        <v>23.712960907615457</v>
      </c>
      <c r="U28" s="10">
        <f>IF(Tablo1[[#This Row],[Özkaynak Karlılığı]]&lt;0,0,(Tablo1[[#This Row],[Özkaynak Karlılığı]]/MAX(Tablo1[Özkaynak Karlılığı]))*10)</f>
        <v>1.112451009948749</v>
      </c>
      <c r="V28" s="10">
        <f>(MIN(Tablo1[PD/DD])/Tablo1[[#This Row],[PD/DD]])*10</f>
        <v>7.1568627450980395</v>
      </c>
      <c r="W28" s="10">
        <f>IFERROR((MIN(Tablo1[F/K])/Tablo1[[#This Row],[F/K]])*10,"")</f>
        <v>5.2315789473684209</v>
      </c>
      <c r="X28" s="10">
        <f>IFERROR((MIN(Tablo1[FD/FAVÖK])/Tablo1[[#This Row],[FD/FAVÖK]])*10,"")</f>
        <v>2.9907407407407405</v>
      </c>
      <c r="Y28" s="10">
        <f>IFERROR((MIN(Tablo1[FD/Satış])/Tablo1[[#This Row],[FD/Satış]])*10,"")</f>
        <v>2.5</v>
      </c>
      <c r="Z28" s="10">
        <f>IFERROR((MIN(Tablo1[PEG])/Tablo1[[#This Row],[PEG]])*10,"")</f>
        <v>0.55555555555555558</v>
      </c>
      <c r="AA28" s="10">
        <f>(Tablo1[[#This Row],[ROIC]]/MAX(Tablo1[ROIC]))*10</f>
        <v>0.3074686940966011</v>
      </c>
      <c r="AB28" s="10">
        <f>IFERROR(IF(Tablo1[[#This Row],[Yıllık Net Kar Değişimi]]&lt;0,0,(Tablo1[[#This Row],[Yıllık Net Kar Değişimi]]/MAX(Tablo1[Yıllık Net Kar Değişimi]))*10),"")</f>
        <v>0</v>
      </c>
      <c r="AC28" s="10">
        <f>IFERROR(IF(Tablo1[[#This Row],[Yıllık FAVÖK Değişimi]]&lt;0,0,(Tablo1[[#This Row],[Yıllık FAVÖK Değişimi]]/MAX(Tablo1[Yıllık FAVÖK Değişimi]))*10),"")</f>
        <v>0.15780078782957649</v>
      </c>
      <c r="AD28" s="10">
        <f>IFERROR(IF(Tablo1[[#This Row],[Yıllık Satışlar Değişimi]]&lt;0,0,(Tablo1[[#This Row],[Yıllık Satışlar Değişimi]]/MAX(Tablo1[Yıllık Satışlar Değişimi]))*10),"")</f>
        <v>3.7005024269777738</v>
      </c>
      <c r="AF28" s="5">
        <f>SUMIFS([1]!Tablo1[Hisse Fiyatı],[1]!Tablo1[Hisse],Tablo1[[#This Row],[Şirket]],[1]!Tablo1[Dönem],$R$2)</f>
        <v>73.75</v>
      </c>
    </row>
    <row r="29" spans="2:32" ht="21.95" customHeight="1" thickTop="1" thickBot="1" x14ac:dyDescent="0.3">
      <c r="B29" s="15" t="str">
        <f>+data!A28</f>
        <v>PINSU</v>
      </c>
      <c r="C29" s="22">
        <f>+data!B28/100</f>
        <v>-7.2300000000000003E-2</v>
      </c>
      <c r="D29" s="8">
        <f>IF(data!C28&lt;0,"",data!C28)</f>
        <v>3.44</v>
      </c>
      <c r="E29" s="8" t="str">
        <f>IF(data!D28="","",data!D28)</f>
        <v/>
      </c>
      <c r="F29" s="8">
        <f>IF(data!E28="","",data!E28)</f>
        <v>11.05</v>
      </c>
      <c r="G29" s="8">
        <f>IF(data!F28="","",data!F28)</f>
        <v>1.74</v>
      </c>
      <c r="H29" s="8">
        <f>IF(data!G28="","",data!G28)</f>
        <v>0.93</v>
      </c>
      <c r="I29" s="23">
        <f>IF(data!H28/100="","",data!H28/100)</f>
        <v>0.26369999999999999</v>
      </c>
      <c r="J29" s="6" t="str">
        <f>IF(data!I28/100=0,"",data!I28/100)</f>
        <v/>
      </c>
      <c r="K29" s="6">
        <f>IF(data!J28/100="","",data!J28/100)</f>
        <v>1.5211000000000001</v>
      </c>
      <c r="L29" s="6">
        <f>IF(data!K28/100="","",data!K28/100)</f>
        <v>0.64439999999999997</v>
      </c>
      <c r="N29" s="29">
        <f>(AF29-data!M28)/AF29</f>
        <v>-0.42378378378378379</v>
      </c>
      <c r="T29" s="24">
        <f t="shared" si="2"/>
        <v>10.33500956571168</v>
      </c>
      <c r="U29" s="10">
        <f>IF(Tablo1[[#This Row],[Özkaynak Karlılığı]]&lt;0,0,(Tablo1[[#This Row],[Özkaynak Karlılığı]]/MAX(Tablo1[Özkaynak Karlılığı]))*10)</f>
        <v>0</v>
      </c>
      <c r="V29" s="10">
        <f>(MIN(Tablo1[PD/DD])/Tablo1[[#This Row],[PD/DD]])*10</f>
        <v>2.1220930232558137</v>
      </c>
      <c r="W29" s="10" t="str">
        <f>IFERROR((MIN(Tablo1[F/K])/Tablo1[[#This Row],[F/K]])*10,"")</f>
        <v/>
      </c>
      <c r="X29" s="10">
        <f>IFERROR((MIN(Tablo1[FD/FAVÖK])/Tablo1[[#This Row],[FD/FAVÖK]])*10,"")</f>
        <v>2.9230769230769225</v>
      </c>
      <c r="Y29" s="10">
        <f>IFERROR((MIN(Tablo1[FD/Satış])/Tablo1[[#This Row],[FD/Satış]])*10,"")</f>
        <v>1.4367816091954022</v>
      </c>
      <c r="Z29" s="10">
        <f>IFERROR((MIN(Tablo1[PEG])/Tablo1[[#This Row],[PEG]])*10,"")</f>
        <v>0.1075268817204301</v>
      </c>
      <c r="AA29" s="10">
        <f>(Tablo1[[#This Row],[ROIC]]/MAX(Tablo1[ROIC]))*10</f>
        <v>0.49139087656529518</v>
      </c>
      <c r="AB29" s="10" t="str">
        <f>IFERROR(IF(Tablo1[[#This Row],[Yıllık Net Kar Değişimi]]&lt;0,0,(Tablo1[[#This Row],[Yıllık Net Kar Değişimi]]/MAX(Tablo1[Yıllık Net Kar Değişimi]))*10),"")</f>
        <v/>
      </c>
      <c r="AC29" s="10">
        <f>IFERROR(IF(Tablo1[[#This Row],[Yıllık FAVÖK Değişimi]]&lt;0,0,(Tablo1[[#This Row],[Yıllık FAVÖK Değişimi]]/MAX(Tablo1[Yıllık FAVÖK Değişimi]))*10),"")</f>
        <v>0.51037801056255327</v>
      </c>
      <c r="AD29" s="10">
        <f>IFERROR(IF(Tablo1[[#This Row],[Yıllık Satışlar Değişimi]]&lt;0,0,(Tablo1[[#This Row],[Yıllık Satışlar Değişimi]]/MAX(Tablo1[Yıllık Satışlar Değişimi]))*10),"")</f>
        <v>2.7437622413352631</v>
      </c>
      <c r="AF29" s="5">
        <f>SUMIFS([1]!Tablo1[Hisse Fiyatı],[1]!Tablo1[Hisse],Tablo1[[#This Row],[Şirket]],[1]!Tablo1[Dönem],$R$2)</f>
        <v>9.25</v>
      </c>
    </row>
    <row r="30" spans="2:32" ht="21.95" customHeight="1" thickTop="1" thickBot="1" x14ac:dyDescent="0.3">
      <c r="B30" s="15" t="str">
        <f>+data!A29</f>
        <v>PNSUT</v>
      </c>
      <c r="C30" s="22">
        <f>+data!B29/100</f>
        <v>0.10550000000000001</v>
      </c>
      <c r="D30" s="8">
        <f>IF(data!C29&lt;0,"",data!C29)</f>
        <v>0.79</v>
      </c>
      <c r="E30" s="8">
        <f>IF(data!D29="","",data!D29)</f>
        <v>9.64</v>
      </c>
      <c r="F30" s="8">
        <f>IF(data!E29="","",data!E29)</f>
        <v>15.14</v>
      </c>
      <c r="G30" s="8">
        <f>IF(data!F29="","",data!F29)</f>
        <v>0.68</v>
      </c>
      <c r="H30" s="8">
        <f>IF(data!G29="","",data!G29)</f>
        <v>1.1299999999999999</v>
      </c>
      <c r="I30" s="23">
        <f>IF(data!H29/100="","",data!H29/100)</f>
        <v>0.1348</v>
      </c>
      <c r="J30" s="6">
        <f>IF(data!I29/100=0,"",data!I29/100)</f>
        <v>-0.26800000000000002</v>
      </c>
      <c r="K30" s="6">
        <f>IF(data!J29/100="","",data!J29/100)</f>
        <v>-0.12809999999999999</v>
      </c>
      <c r="L30" s="6">
        <f>IF(data!K29/100="","",data!K29/100)</f>
        <v>0.496</v>
      </c>
      <c r="N30" s="29">
        <f>(AF30-data!M29)/AF30</f>
        <v>0.13664596273291926</v>
      </c>
      <c r="T30" s="24">
        <f t="shared" si="2"/>
        <v>23.452730823838429</v>
      </c>
      <c r="U30" s="10">
        <f>IF(Tablo1[[#This Row],[Özkaynak Karlılığı]]&lt;0,0,(Tablo1[[#This Row],[Özkaynak Karlılığı]]/MAX(Tablo1[Özkaynak Karlılığı]))*10)</f>
        <v>0.79514621646065731</v>
      </c>
      <c r="V30" s="10">
        <f>(MIN(Tablo1[PD/DD])/Tablo1[[#This Row],[PD/DD]])*10</f>
        <v>9.2405063291139236</v>
      </c>
      <c r="W30" s="10">
        <f>IFERROR((MIN(Tablo1[F/K])/Tablo1[[#This Row],[F/K]])*10,"")</f>
        <v>5.1556016597510368</v>
      </c>
      <c r="X30" s="10">
        <f>IFERROR((MIN(Tablo1[FD/FAVÖK])/Tablo1[[#This Row],[FD/FAVÖK]])*10,"")</f>
        <v>2.1334214002642007</v>
      </c>
      <c r="Y30" s="10">
        <f>IFERROR((MIN(Tablo1[FD/Satış])/Tablo1[[#This Row],[FD/Satış]])*10,"")</f>
        <v>3.6764705882352939</v>
      </c>
      <c r="Z30" s="10">
        <f>IFERROR((MIN(Tablo1[PEG])/Tablo1[[#This Row],[PEG]])*10,"")</f>
        <v>8.8495575221238951E-2</v>
      </c>
      <c r="AA30" s="10">
        <f>(Tablo1[[#This Row],[ROIC]]/MAX(Tablo1[ROIC]))*10</f>
        <v>0.25119260584376868</v>
      </c>
      <c r="AB30" s="10">
        <f>IFERROR(IF(Tablo1[[#This Row],[Yıllık Net Kar Değişimi]]&lt;0,0,(Tablo1[[#This Row],[Yıllık Net Kar Değişimi]]/MAX(Tablo1[Yıllık Net Kar Değişimi]))*10),"")</f>
        <v>0</v>
      </c>
      <c r="AC30" s="10">
        <f>IFERROR(IF(Tablo1[[#This Row],[Yıllık FAVÖK Değişimi]]&lt;0,0,(Tablo1[[#This Row],[Yıllık FAVÖK Değişimi]]/MAX(Tablo1[Yıllık FAVÖK Değişimi]))*10),"")</f>
        <v>0</v>
      </c>
      <c r="AD30" s="10">
        <f>IFERROR(IF(Tablo1[[#This Row],[Yıllık Satışlar Değişimi]]&lt;0,0,(Tablo1[[#This Row],[Yıllık Satışlar Değişimi]]/MAX(Tablo1[Yıllık Satışlar Değişimi]))*10),"")</f>
        <v>2.1118964489483094</v>
      </c>
      <c r="AF30" s="5">
        <f>SUMIFS([1]!Tablo1[Hisse Fiyatı],[1]!Tablo1[Hisse],Tablo1[[#This Row],[Şirket]],[1]!Tablo1[Dönem],$R$2)</f>
        <v>80.5</v>
      </c>
    </row>
    <row r="31" spans="2:32" ht="21.95" customHeight="1" thickTop="1" thickBot="1" x14ac:dyDescent="0.3">
      <c r="B31" s="15" t="str">
        <f>+data!A30</f>
        <v>SELVA</v>
      </c>
      <c r="C31" s="22">
        <f>+data!B30/100</f>
        <v>0.22159999999999999</v>
      </c>
      <c r="D31" s="8">
        <f>IF(data!C30&lt;0,"",data!C30)</f>
        <v>1.76</v>
      </c>
      <c r="E31" s="8">
        <f>IF(data!D30="","",data!D30)</f>
        <v>10.55</v>
      </c>
      <c r="F31" s="8">
        <f>IF(data!E30="","",data!E30)</f>
        <v>11.04</v>
      </c>
      <c r="G31" s="8">
        <f>IF(data!F30="","",data!F30)</f>
        <v>1.1499999999999999</v>
      </c>
      <c r="H31" s="8">
        <f>IF(data!G30="","",data!G30)</f>
        <v>0.05</v>
      </c>
      <c r="I31" s="23">
        <f>IF(data!H30/100="","",data!H30/100)</f>
        <v>0.2782</v>
      </c>
      <c r="J31" s="6">
        <f>IF(data!I30/100=0,"",data!I30/100)</f>
        <v>0.1148</v>
      </c>
      <c r="K31" s="6">
        <f>IF(data!J30/100="","",data!J30/100)</f>
        <v>0.15710000000000002</v>
      </c>
      <c r="L31" s="6">
        <f>IF(data!K30/100="","",data!K30/100)</f>
        <v>0.6925</v>
      </c>
      <c r="N31" s="16">
        <f>(AF31-data!M30)/AF31</f>
        <v>0.17534849596478361</v>
      </c>
      <c r="T31" s="24">
        <f t="shared" ref="T31:T39" si="3">SUM(U31:AD31)</f>
        <v>21.372654327492064</v>
      </c>
      <c r="U31" s="10">
        <f>IF(Tablo1[[#This Row],[Özkaynak Karlılığı]]&lt;0,0,(Tablo1[[#This Row],[Özkaynak Karlılığı]]/MAX(Tablo1[Özkaynak Karlılığı]))*10)</f>
        <v>1.6701839011154656</v>
      </c>
      <c r="V31" s="10">
        <f>(MIN(Tablo1[PD/DD])/Tablo1[[#This Row],[PD/DD]])*10</f>
        <v>4.1477272727272725</v>
      </c>
      <c r="W31" s="10">
        <f>IFERROR((MIN(Tablo1[F/K])/Tablo1[[#This Row],[F/K]])*10,"")</f>
        <v>4.7109004739336484</v>
      </c>
      <c r="X31" s="10">
        <f>IFERROR((MIN(Tablo1[FD/FAVÖK])/Tablo1[[#This Row],[FD/FAVÖK]])*10,"")</f>
        <v>2.9257246376811596</v>
      </c>
      <c r="Y31" s="10">
        <f>IFERROR((MIN(Tablo1[FD/Satış])/Tablo1[[#This Row],[FD/Satış]])*10,"")</f>
        <v>2.1739130434782612</v>
      </c>
      <c r="Z31" s="10">
        <f>IFERROR((MIN(Tablo1[PEG])/Tablo1[[#This Row],[PEG]])*10,"")</f>
        <v>1.9999999999999998</v>
      </c>
      <c r="AA31" s="10">
        <f>(Tablo1[[#This Row],[ROIC]]/MAX(Tablo1[ROIC]))*10</f>
        <v>0.51841085271317833</v>
      </c>
      <c r="AB31" s="10">
        <f>IFERROR(IF(Tablo1[[#This Row],[Yıllık Net Kar Değişimi]]&lt;0,0,(Tablo1[[#This Row],[Yıllık Net Kar Değişimi]]/MAX(Tablo1[Yıllık Net Kar Değişimi]))*10),"")</f>
        <v>0.2245169365563639</v>
      </c>
      <c r="AC31" s="10">
        <f>IFERROR(IF(Tablo1[[#This Row],[Yıllık FAVÖK Değişimi]]&lt;0,0,(Tablo1[[#This Row],[Yıllık FAVÖK Değişimi]]/MAX(Tablo1[Yıllık FAVÖK Değişimi]))*10),"")</f>
        <v>5.2712106672393094E-2</v>
      </c>
      <c r="AD31" s="10">
        <f>IFERROR(IF(Tablo1[[#This Row],[Yıllık Satışlar Değişimi]]&lt;0,0,(Tablo1[[#This Row],[Yıllık Satışlar Değişimi]]/MAX(Tablo1[Yıllık Satışlar Değişimi]))*10),"")</f>
        <v>2.9485651026143236</v>
      </c>
      <c r="AF31" s="5">
        <f>SUMIFS([1]!Tablo1[Hisse Fiyatı],[1]!Tablo1[Hisse],Tablo1[[#This Row],[Şirket]],[1]!Tablo1[Dönem],$R$2)</f>
        <v>13.63</v>
      </c>
    </row>
    <row r="32" spans="2:32" ht="21.95" customHeight="1" thickTop="1" thickBot="1" x14ac:dyDescent="0.3">
      <c r="B32" s="15" t="str">
        <f>+data!A31</f>
        <v>TABGD</v>
      </c>
      <c r="C32" s="22">
        <f>+data!B31/100</f>
        <v>1.3268</v>
      </c>
      <c r="D32" s="8">
        <f>IF(data!C31&lt;0,"",data!C31)</f>
        <v>12.08</v>
      </c>
      <c r="E32" s="8">
        <f>IF(data!D31="","",data!D31)</f>
        <v>18.21</v>
      </c>
      <c r="F32" s="8">
        <f>IF(data!E31="","",data!E31)</f>
        <v>12.52</v>
      </c>
      <c r="G32" s="8">
        <f>IF(data!F31="","",data!F31)</f>
        <v>2.06</v>
      </c>
      <c r="H32" s="8">
        <f>IF(data!G31="","",data!G31)</f>
        <v>0.03</v>
      </c>
      <c r="I32" s="23">
        <f>IF(data!H31/100="","",data!H31/100)</f>
        <v>2.9711000000000003</v>
      </c>
      <c r="J32" s="6">
        <f>IF(data!I31/100=0,"",data!I31/100)</f>
        <v>5.1132</v>
      </c>
      <c r="K32" s="6">
        <f>IF(data!J31/100="","",data!J31/100)</f>
        <v>2.0362999999999998</v>
      </c>
      <c r="L32" s="6">
        <f>IF(data!K31/100="","",data!K31/100)</f>
        <v>1.0412999999999999</v>
      </c>
      <c r="N32" s="16" t="e">
        <f>(AF32-data!M31)/AF32</f>
        <v>#DIV/0!</v>
      </c>
      <c r="T32" s="24">
        <f t="shared" si="3"/>
        <v>41.113807703364358</v>
      </c>
      <c r="U32" s="2">
        <f>IF(Tablo1[[#This Row],[Özkaynak Karlılığı]]&lt;0,0,(Tablo1[[#This Row],[Özkaynak Karlılığı]]/MAX(Tablo1[Özkaynak Karlılığı]))*10)</f>
        <v>10</v>
      </c>
      <c r="V32" s="2">
        <f>(MIN(Tablo1[PD/DD])/Tablo1[[#This Row],[PD/DD]])*10</f>
        <v>0.60430463576158933</v>
      </c>
      <c r="W32" s="2">
        <f>IFERROR((MIN(Tablo1[F/K])/Tablo1[[#This Row],[F/K]])*10,"")</f>
        <v>2.7292696320702907</v>
      </c>
      <c r="X32" s="10">
        <f>IFERROR((MIN(Tablo1[FD/FAVÖK])/Tablo1[[#This Row],[FD/FAVÖK]])*10,"")</f>
        <v>2.5798722044728435</v>
      </c>
      <c r="Y32" s="10">
        <f>IFERROR((MIN(Tablo1[FD/Satış])/Tablo1[[#This Row],[FD/Satış]])*10,"")</f>
        <v>1.2135922330097086</v>
      </c>
      <c r="Z32" s="10">
        <f>IFERROR((MIN(Tablo1[PEG])/Tablo1[[#This Row],[PEG]])*10,"")</f>
        <v>3.3333333333333339</v>
      </c>
      <c r="AA32" s="10">
        <f>(Tablo1[[#This Row],[ROIC]]/MAX(Tablo1[ROIC]))*10</f>
        <v>5.5364862850327974</v>
      </c>
      <c r="AB32" s="10">
        <f>IFERROR(IF(Tablo1[[#This Row],[Yıllık Net Kar Değişimi]]&lt;0,0,(Tablo1[[#This Row],[Yıllık Net Kar Değişimi]]/MAX(Tablo1[Yıllık Net Kar Değişimi]))*10),"")</f>
        <v>10</v>
      </c>
      <c r="AC32" s="10">
        <f>IFERROR(IF(Tablo1[[#This Row],[Yıllık FAVÖK Değişimi]]&lt;0,0,(Tablo1[[#This Row],[Yıllık FAVÖK Değişimi]]/MAX(Tablo1[Yıllık FAVÖK Değişimi]))*10),"")</f>
        <v>0.68324419361549338</v>
      </c>
      <c r="AD32" s="10">
        <f>IFERROR(IF(Tablo1[[#This Row],[Yıllık Satışlar Değişimi]]&lt;0,0,(Tablo1[[#This Row],[Yıllık Satışlar Değişimi]]/MAX(Tablo1[Yıllık Satışlar Değişimi]))*10),"")</f>
        <v>4.4337051860682948</v>
      </c>
      <c r="AF32" s="5">
        <f>SUMIFS([1]!Tablo1[Hisse Fiyatı],[1]!Tablo1[Hisse],Tablo1[[#This Row],[Şirket]],[1]!Tablo1[Dönem],$R$2)</f>
        <v>0</v>
      </c>
    </row>
    <row r="33" spans="2:32" ht="21.95" customHeight="1" thickTop="1" thickBot="1" x14ac:dyDescent="0.3">
      <c r="B33" s="15" t="str">
        <f>+data!A32</f>
        <v>TATGD</v>
      </c>
      <c r="C33" s="22">
        <f>+data!B32/100</f>
        <v>0.23219999999999999</v>
      </c>
      <c r="D33" s="8">
        <f>IF(data!C32&lt;0,"",data!C32)</f>
        <v>4.0199999999999996</v>
      </c>
      <c r="E33" s="8">
        <f>IF(data!D32="","",data!D32)</f>
        <v>18.489999999999998</v>
      </c>
      <c r="F33" s="8">
        <f>IF(data!E32="","",data!E32)</f>
        <v>12.94</v>
      </c>
      <c r="G33" s="8">
        <f>IF(data!F32="","",data!F32)</f>
        <v>1.66</v>
      </c>
      <c r="H33" s="8" t="str">
        <f>IF(data!G32="","",data!G32)</f>
        <v/>
      </c>
      <c r="I33" s="23">
        <f>IF(data!H32/100="","",data!H32/100)</f>
        <v>0.34139999999999998</v>
      </c>
      <c r="J33" s="6">
        <f>IF(data!I32/100=0,"",data!I32/100)</f>
        <v>-0.14419999999999999</v>
      </c>
      <c r="K33" s="6">
        <f>IF(data!J32/100="","",data!J32/100)</f>
        <v>0.48249999999999998</v>
      </c>
      <c r="L33" s="6">
        <f>IF(data!K32/100="","",data!K32/100)</f>
        <v>0.86809999999999998</v>
      </c>
      <c r="N33" s="16">
        <f>(AF33-data!M32)/AF33</f>
        <v>1.0537992235163687E-2</v>
      </c>
      <c r="T33" s="24">
        <f t="shared" si="3"/>
        <v>14.750414834324602</v>
      </c>
      <c r="U33" s="2">
        <f>IF(Tablo1[[#This Row],[Özkaynak Karlılığı]]&lt;0,0,(Tablo1[[#This Row],[Özkaynak Karlılığı]]/MAX(Tablo1[Özkaynak Karlılığı]))*10)</f>
        <v>1.7500753693096172</v>
      </c>
      <c r="V33" s="2">
        <f>(MIN(Tablo1[PD/DD])/Tablo1[[#This Row],[PD/DD]])*10</f>
        <v>1.8159203980099503</v>
      </c>
      <c r="W33" s="2">
        <f>IFERROR((MIN(Tablo1[F/K])/Tablo1[[#This Row],[F/K]])*10,"")</f>
        <v>2.6879394267171448</v>
      </c>
      <c r="X33" s="10">
        <f>IFERROR((MIN(Tablo1[FD/FAVÖK])/Tablo1[[#This Row],[FD/FAVÖK]])*10,"")</f>
        <v>2.4961360123647607</v>
      </c>
      <c r="Y33" s="10">
        <f>IFERROR((MIN(Tablo1[FD/Satış])/Tablo1[[#This Row],[FD/Satış]])*10,"")</f>
        <v>1.5060240963855422</v>
      </c>
      <c r="Z33" s="10" t="str">
        <f>IFERROR((MIN(Tablo1[PEG])/Tablo1[[#This Row],[PEG]])*10,"")</f>
        <v/>
      </c>
      <c r="AA33" s="10">
        <f>(Tablo1[[#This Row],[ROIC]]/MAX(Tablo1[ROIC]))*10</f>
        <v>0.63618067978533099</v>
      </c>
      <c r="AB33" s="10">
        <f>IFERROR(IF(Tablo1[[#This Row],[Yıllık Net Kar Değişimi]]&lt;0,0,(Tablo1[[#This Row],[Yıllık Net Kar Değişimi]]/MAX(Tablo1[Yıllık Net Kar Değişimi]))*10),"")</f>
        <v>0</v>
      </c>
      <c r="AC33" s="10">
        <f>IFERROR(IF(Tablo1[[#This Row],[Yıllık FAVÖK Değişimi]]&lt;0,0,(Tablo1[[#This Row],[Yıllık FAVÖK Değişimi]]/MAX(Tablo1[Yıllık FAVÖK Değişimi]))*10),"")</f>
        <v>0.16189428051833013</v>
      </c>
      <c r="AD33" s="10">
        <f>IFERROR(IF(Tablo1[[#This Row],[Yıllık Satışlar Değişimi]]&lt;0,0,(Tablo1[[#This Row],[Yıllık Satışlar Değişimi]]/MAX(Tablo1[Yıllık Satışlar Değişimi]))*10),"")</f>
        <v>3.696244571233926</v>
      </c>
      <c r="AF33" s="5">
        <f>SUMIFS([1]!Tablo1[Hisse Fiyatı],[1]!Tablo1[Hisse],Tablo1[[#This Row],[Şirket]],[1]!Tablo1[Dönem],$R$2)</f>
        <v>36.06</v>
      </c>
    </row>
    <row r="34" spans="2:32" ht="21.95" customHeight="1" thickTop="1" thickBot="1" x14ac:dyDescent="0.3">
      <c r="B34" s="15" t="str">
        <f>+data!A33</f>
        <v>TBORG</v>
      </c>
      <c r="C34" s="22">
        <f>+data!B33/100</f>
        <v>0.65290000000000004</v>
      </c>
      <c r="D34" s="8">
        <f>IF(data!C33&lt;0,"",data!C33)</f>
        <v>3.4</v>
      </c>
      <c r="E34" s="8">
        <f>IF(data!D33="","",data!D33)</f>
        <v>6.9</v>
      </c>
      <c r="F34" s="8">
        <f>IF(data!E33="","",data!E33)</f>
        <v>5.23</v>
      </c>
      <c r="G34" s="8">
        <f>IF(data!F33="","",data!F33)</f>
        <v>1.7</v>
      </c>
      <c r="H34" s="8">
        <f>IF(data!G33="","",data!G33)</f>
        <v>0.09</v>
      </c>
      <c r="I34" s="23">
        <f>IF(data!H33/100="","",data!H33/100)</f>
        <v>2.4300999999999999</v>
      </c>
      <c r="J34" s="6">
        <f>IF(data!I33/100=0,"",data!I33/100)</f>
        <v>0.97829999999999995</v>
      </c>
      <c r="K34" s="6">
        <f>IF(data!J33/100="","",data!J33/100)</f>
        <v>1.0210999999999999</v>
      </c>
      <c r="L34" s="6">
        <f>IF(data!K33/100="","",data!K33/100)</f>
        <v>0.75329999999999997</v>
      </c>
      <c r="N34" s="16">
        <f>(AF34-data!M33)/AF34</f>
        <v>0.15238095238095234</v>
      </c>
      <c r="T34" s="24">
        <f t="shared" si="3"/>
        <v>33.020126740520929</v>
      </c>
      <c r="U34" s="2">
        <f>IF(Tablo1[[#This Row],[Özkaynak Karlılığı]]&lt;0,0,(Tablo1[[#This Row],[Özkaynak Karlılığı]]/MAX(Tablo1[Özkaynak Karlılığı]))*10)</f>
        <v>4.9208622249020202</v>
      </c>
      <c r="V34" s="2">
        <f>(MIN(Tablo1[PD/DD])/Tablo1[[#This Row],[PD/DD]])*10</f>
        <v>2.1470588235294117</v>
      </c>
      <c r="W34" s="2">
        <f>IFERROR((MIN(Tablo1[F/K])/Tablo1[[#This Row],[F/K]])*10,"")</f>
        <v>7.2028985507246368</v>
      </c>
      <c r="X34" s="10">
        <f>IFERROR((MIN(Tablo1[FD/FAVÖK])/Tablo1[[#This Row],[FD/FAVÖK]])*10,"")</f>
        <v>6.1759082217973225</v>
      </c>
      <c r="Y34" s="10">
        <f>IFERROR((MIN(Tablo1[FD/Satış])/Tablo1[[#This Row],[FD/Satış]])*10,"")</f>
        <v>1.4705882352941178</v>
      </c>
      <c r="Z34" s="10">
        <f>IFERROR((MIN(Tablo1[PEG])/Tablo1[[#This Row],[PEG]])*10,"")</f>
        <v>1.1111111111111112</v>
      </c>
      <c r="AA34" s="10">
        <f>(Tablo1[[#This Row],[ROIC]]/MAX(Tablo1[ROIC]))*10</f>
        <v>4.5283616577221233</v>
      </c>
      <c r="AB34" s="10">
        <f>IFERROR(IF(Tablo1[[#This Row],[Yıllık Net Kar Değişimi]]&lt;0,0,(Tablo1[[#This Row],[Yıllık Net Kar Değişimi]]/MAX(Tablo1[Yıllık Net Kar Değişimi]))*10),"")</f>
        <v>1.91328326683877</v>
      </c>
      <c r="AC34" s="10">
        <f>IFERROR(IF(Tablo1[[#This Row],[Yıllık FAVÖK Değişimi]]&lt;0,0,(Tablo1[[#This Row],[Yıllık FAVÖK Değişimi]]/MAX(Tablo1[Yıllık FAVÖK Değişimi]))*10),"")</f>
        <v>0.34261191676117486</v>
      </c>
      <c r="AD34" s="10">
        <f>IFERROR(IF(Tablo1[[#This Row],[Yıllık Satışlar Değişimi]]&lt;0,0,(Tablo1[[#This Row],[Yıllık Satışlar Değişimi]]/MAX(Tablo1[Yıllık Satışlar Değişimi]))*10),"")</f>
        <v>3.2074427318402448</v>
      </c>
      <c r="AF34" s="5">
        <f>SUMIFS([1]!Tablo1[Hisse Fiyatı],[1]!Tablo1[Hisse],Tablo1[[#This Row],[Şirket]],[1]!Tablo1[Dönem],$R$2)</f>
        <v>84</v>
      </c>
    </row>
    <row r="35" spans="2:32" ht="21.95" customHeight="1" thickTop="1" thickBot="1" x14ac:dyDescent="0.3">
      <c r="B35" s="15" t="str">
        <f>+data!A34</f>
        <v>TUKAS</v>
      </c>
      <c r="C35" s="22">
        <f>+data!B34/100</f>
        <v>0.5524</v>
      </c>
      <c r="D35" s="8">
        <f>IF(data!C34&lt;0,"",data!C34)</f>
        <v>3.27</v>
      </c>
      <c r="E35" s="8">
        <f>IF(data!D34="","",data!D34)</f>
        <v>7.55</v>
      </c>
      <c r="F35" s="8">
        <f>IF(data!E34="","",data!E34)</f>
        <v>8.06</v>
      </c>
      <c r="G35" s="8">
        <f>IF(data!F34="","",data!F34)</f>
        <v>2.0699999999999998</v>
      </c>
      <c r="H35" s="8">
        <f>IF(data!G34="","",data!G34)</f>
        <v>0.4</v>
      </c>
      <c r="I35" s="23">
        <f>IF(data!H34/100="","",data!H34/100)</f>
        <v>0.56310000000000004</v>
      </c>
      <c r="J35" s="6">
        <f>IF(data!I34/100=0,"",data!I34/100)</f>
        <v>-2.0199999999999999E-2</v>
      </c>
      <c r="K35" s="6">
        <f>IF(data!J34/100="","",data!J34/100)</f>
        <v>-0.12359999999999999</v>
      </c>
      <c r="L35" s="6">
        <f>IF(data!K34/100="","",data!K34/100)</f>
        <v>0.4108</v>
      </c>
      <c r="N35" s="16">
        <f>(AF35-data!M34)/AF35</f>
        <v>0.16082224909310752</v>
      </c>
      <c r="T35" s="24">
        <f t="shared" si="3"/>
        <v>21.242205597103585</v>
      </c>
      <c r="U35" s="2">
        <f>IF(Tablo1[[#This Row],[Özkaynak Karlılığı]]&lt;0,0,(Tablo1[[#This Row],[Özkaynak Karlılığı]]/MAX(Tablo1[Özkaynak Karlılığı]))*10)</f>
        <v>4.1634006632499245</v>
      </c>
      <c r="V35" s="2">
        <f>(MIN(Tablo1[PD/DD])/Tablo1[[#This Row],[PD/DD]])*10</f>
        <v>2.2324159021406729</v>
      </c>
      <c r="W35" s="2">
        <f>IFERROR((MIN(Tablo1[F/K])/Tablo1[[#This Row],[F/K]])*10,"")</f>
        <v>6.5827814569536427</v>
      </c>
      <c r="X35" s="10">
        <f>IFERROR((MIN(Tablo1[FD/FAVÖK])/Tablo1[[#This Row],[FD/FAVÖK]])*10,"")</f>
        <v>4.0074441687344908</v>
      </c>
      <c r="Y35" s="10">
        <f>IFERROR((MIN(Tablo1[FD/Satış])/Tablo1[[#This Row],[FD/Satış]])*10,"")</f>
        <v>1.2077294685990339</v>
      </c>
      <c r="Z35" s="10">
        <f>IFERROR((MIN(Tablo1[PEG])/Tablo1[[#This Row],[PEG]])*10,"")</f>
        <v>0.24999999999999997</v>
      </c>
      <c r="AA35" s="10">
        <f>(Tablo1[[#This Row],[ROIC]]/MAX(Tablo1[ROIC]))*10</f>
        <v>1.0493067978533097</v>
      </c>
      <c r="AB35" s="10">
        <f>IFERROR(IF(Tablo1[[#This Row],[Yıllık Net Kar Değişimi]]&lt;0,0,(Tablo1[[#This Row],[Yıllık Net Kar Değişimi]]/MAX(Tablo1[Yıllık Net Kar Değişimi]))*10),"")</f>
        <v>0</v>
      </c>
      <c r="AC35" s="10">
        <f>IFERROR(IF(Tablo1[[#This Row],[Yıllık FAVÖK Değişimi]]&lt;0,0,(Tablo1[[#This Row],[Yıllık FAVÖK Değişimi]]/MAX(Tablo1[Yıllık FAVÖK Değişimi]))*10),"")</f>
        <v>0</v>
      </c>
      <c r="AD35" s="10">
        <f>IFERROR(IF(Tablo1[[#This Row],[Yıllık Satışlar Değişimi]]&lt;0,0,(Tablo1[[#This Row],[Yıllık Satışlar Değişimi]]/MAX(Tablo1[Yıllık Satışlar Değişimi]))*10),"")</f>
        <v>1.749127139572511</v>
      </c>
      <c r="AF35" s="5">
        <f>SUMIFS([1]!Tablo1[Hisse Fiyatı],[1]!Tablo1[Hisse],Tablo1[[#This Row],[Şirket]],[1]!Tablo1[Dönem],$R$2)</f>
        <v>8.27</v>
      </c>
    </row>
    <row r="36" spans="2:32" ht="21.95" customHeight="1" thickTop="1" thickBot="1" x14ac:dyDescent="0.3">
      <c r="B36" s="15" t="str">
        <f>+data!A35</f>
        <v>ULKER</v>
      </c>
      <c r="C36" s="22">
        <f>+data!B35/100</f>
        <v>0.28249999999999997</v>
      </c>
      <c r="D36" s="8">
        <f>IF(data!C35&lt;0,"",data!C35)</f>
        <v>3.31</v>
      </c>
      <c r="E36" s="8">
        <f>IF(data!D35="","",data!D35)</f>
        <v>17.93</v>
      </c>
      <c r="F36" s="8">
        <f>IF(data!E35="","",data!E35)</f>
        <v>5.52</v>
      </c>
      <c r="G36" s="8">
        <f>IF(data!F35="","",data!F35)</f>
        <v>1.18</v>
      </c>
      <c r="H36" s="8" t="str">
        <f>IF(data!G35="","",data!G35)</f>
        <v/>
      </c>
      <c r="I36" s="23">
        <f>IF(data!H35/100="","",data!H35/100)</f>
        <v>0.68519999999999992</v>
      </c>
      <c r="J36" s="6" t="str">
        <f>IF(data!I35/100=0,"",data!I35/100)</f>
        <v/>
      </c>
      <c r="K36" s="6">
        <f>IF(data!J35/100="","",data!J35/100)</f>
        <v>0.90689999999999993</v>
      </c>
      <c r="L36" s="6">
        <f>IF(data!K35/100="","",data!K35/100)</f>
        <v>0.67019999999999991</v>
      </c>
      <c r="N36" s="16">
        <f>(AF36-data!M35)/AF36</f>
        <v>5.0595238095238096E-2</v>
      </c>
      <c r="T36" s="24">
        <f t="shared" si="3"/>
        <v>19.51134778425731</v>
      </c>
      <c r="U36" s="2">
        <f>IF(Tablo1[[#This Row],[Özkaynak Karlılığı]]&lt;0,0,(Tablo1[[#This Row],[Özkaynak Karlılığı]]/MAX(Tablo1[Özkaynak Karlılığı]))*10)</f>
        <v>2.1291829966837503</v>
      </c>
      <c r="V36" s="2">
        <f>(MIN(Tablo1[PD/DD])/Tablo1[[#This Row],[PD/DD]])*10</f>
        <v>2.2054380664652569</v>
      </c>
      <c r="W36" s="2">
        <f>IFERROR((MIN(Tablo1[F/K])/Tablo1[[#This Row],[F/K]])*10,"")</f>
        <v>2.7718906860011154</v>
      </c>
      <c r="X36" s="10">
        <f>IFERROR((MIN(Tablo1[FD/FAVÖK])/Tablo1[[#This Row],[FD/FAVÖK]])*10,"")</f>
        <v>5.8514492753623193</v>
      </c>
      <c r="Y36" s="10">
        <f>IFERROR((MIN(Tablo1[FD/Satış])/Tablo1[[#This Row],[FD/Satış]])*10,"")</f>
        <v>2.1186440677966103</v>
      </c>
      <c r="Z36" s="10" t="str">
        <f>IFERROR((MIN(Tablo1[PEG])/Tablo1[[#This Row],[PEG]])*10,"")</f>
        <v/>
      </c>
      <c r="AA36" s="10">
        <f>(Tablo1[[#This Row],[ROIC]]/MAX(Tablo1[ROIC]))*10</f>
        <v>1.2768336314847941</v>
      </c>
      <c r="AB36" s="10" t="str">
        <f>IFERROR(IF(Tablo1[[#This Row],[Yıllık Net Kar Değişimi]]&lt;0,0,(Tablo1[[#This Row],[Yıllık Net Kar Değişimi]]/MAX(Tablo1[Yıllık Net Kar Değişimi]))*10),"")</f>
        <v/>
      </c>
      <c r="AC36" s="10">
        <f>IFERROR(IF(Tablo1[[#This Row],[Yıllık FAVÖK Değişimi]]&lt;0,0,(Tablo1[[#This Row],[Yıllık FAVÖK Değişimi]]/MAX(Tablo1[Yıllık FAVÖK Değişimi]))*10),"")</f>
        <v>0.30429414093694007</v>
      </c>
      <c r="AD36" s="10">
        <f>IFERROR(IF(Tablo1[[#This Row],[Yıllık Satışlar Değişimi]]&lt;0,0,(Tablo1[[#This Row],[Yıllık Satışlar Değişimi]]/MAX(Tablo1[Yıllık Satışlar Değişimi]))*10),"")</f>
        <v>2.8536149195265259</v>
      </c>
      <c r="AF36" s="5">
        <f>SUMIFS([1]!Tablo1[Hisse Fiyatı],[1]!Tablo1[Hisse],Tablo1[[#This Row],[Şirket]],[1]!Tablo1[Dönem],$R$2)</f>
        <v>84</v>
      </c>
    </row>
    <row r="37" spans="2:32" ht="21.95" customHeight="1" thickTop="1" thickBot="1" x14ac:dyDescent="0.3">
      <c r="B37" s="15" t="str">
        <f>+data!A36</f>
        <v>ULUUN</v>
      </c>
      <c r="C37" s="22">
        <f>+data!B36/100</f>
        <v>0.12380000000000001</v>
      </c>
      <c r="D37" s="8">
        <f>IF(data!C36&lt;0,"",data!C36)</f>
        <v>1.31</v>
      </c>
      <c r="E37" s="8">
        <f>IF(data!D36="","",data!D36)</f>
        <v>14.78</v>
      </c>
      <c r="F37" s="8">
        <f>IF(data!E36="","",data!E36)</f>
        <v>8.9</v>
      </c>
      <c r="G37" s="8">
        <f>IF(data!F36="","",data!F36)</f>
        <v>0.25</v>
      </c>
      <c r="H37" s="8" t="str">
        <f>IF(data!G36="","",data!G36)</f>
        <v/>
      </c>
      <c r="I37" s="23">
        <f>IF(data!H36/100="","",data!H36/100)</f>
        <v>0.2505</v>
      </c>
      <c r="J37" s="6">
        <f>IF(data!I36/100=0,"",data!I36/100)</f>
        <v>-0.55120000000000002</v>
      </c>
      <c r="K37" s="6">
        <f>IF(data!J36/100="","",data!J36/100)</f>
        <v>-0.30170000000000002</v>
      </c>
      <c r="L37" s="6">
        <f>IF(data!K36/100="","",data!K36/100)</f>
        <v>0.75540000000000007</v>
      </c>
      <c r="N37" s="16">
        <f>(AF37-data!M36)/AF37</f>
        <v>0.10096153846153851</v>
      </c>
      <c r="T37" s="24">
        <f t="shared" si="3"/>
        <v>27.180634462862375</v>
      </c>
      <c r="U37" s="2">
        <f>IF(Tablo1[[#This Row],[Özkaynak Karlılığı]]&lt;0,0,(Tablo1[[#This Row],[Özkaynak Karlılığı]]/MAX(Tablo1[Özkaynak Karlılığı]))*10)</f>
        <v>0.93307205305999408</v>
      </c>
      <c r="V37" s="2">
        <f>(MIN(Tablo1[PD/DD])/Tablo1[[#This Row],[PD/DD]])*10</f>
        <v>5.5725190839694649</v>
      </c>
      <c r="W37" s="2">
        <f>IFERROR((MIN(Tablo1[F/K])/Tablo1[[#This Row],[F/K]])*10,"")</f>
        <v>3.3626522327469557</v>
      </c>
      <c r="X37" s="10">
        <f>IFERROR((MIN(Tablo1[FD/FAVÖK])/Tablo1[[#This Row],[FD/FAVÖK]])*10,"")</f>
        <v>3.6292134831460672</v>
      </c>
      <c r="Y37" s="10">
        <f>IFERROR((MIN(Tablo1[FD/Satış])/Tablo1[[#This Row],[FD/Satış]])*10,"")</f>
        <v>10</v>
      </c>
      <c r="Z37" s="10" t="str">
        <f>IFERROR((MIN(Tablo1[PEG])/Tablo1[[#This Row],[PEG]])*10,"")</f>
        <v/>
      </c>
      <c r="AA37" s="10">
        <f>(Tablo1[[#This Row],[ROIC]]/MAX(Tablo1[ROIC]))*10</f>
        <v>0.46679338103756712</v>
      </c>
      <c r="AB37" s="10">
        <f>IFERROR(IF(Tablo1[[#This Row],[Yıllık Net Kar Değişimi]]&lt;0,0,(Tablo1[[#This Row],[Yıllık Net Kar Değişimi]]/MAX(Tablo1[Yıllık Net Kar Değişimi]))*10),"")</f>
        <v>0</v>
      </c>
      <c r="AC37" s="10">
        <f>IFERROR(IF(Tablo1[[#This Row],[Yıllık FAVÖK Değişimi]]&lt;0,0,(Tablo1[[#This Row],[Yıllık FAVÖK Değişimi]]/MAX(Tablo1[Yıllık FAVÖK Değişimi]))*10),"")</f>
        <v>0</v>
      </c>
      <c r="AD37" s="10">
        <f>IFERROR(IF(Tablo1[[#This Row],[Yıllık Satışlar Değişimi]]&lt;0,0,(Tablo1[[#This Row],[Yıllık Satışlar Değişimi]]/MAX(Tablo1[Yıllık Satışlar Değişimi]))*10),"")</f>
        <v>3.2163842289023248</v>
      </c>
      <c r="AF37" s="5">
        <f>SUMIFS([1]!Tablo1[Hisse Fiyatı],[1]!Tablo1[Hisse],Tablo1[[#This Row],[Şirket]],[1]!Tablo1[Dönem],$R$2)</f>
        <v>29.12</v>
      </c>
    </row>
    <row r="38" spans="2:32" ht="21.95" customHeight="1" thickTop="1" thickBot="1" x14ac:dyDescent="0.3">
      <c r="B38" s="15" t="str">
        <f>+data!A37</f>
        <v>VANGD</v>
      </c>
      <c r="C38" s="22">
        <f>+data!B37/100</f>
        <v>0.52560000000000007</v>
      </c>
      <c r="D38" s="8">
        <f>IF(data!C37&lt;0,"",data!C37)</f>
        <v>4.71</v>
      </c>
      <c r="E38" s="8">
        <f>IF(data!D37="","",data!D37)</f>
        <v>11.32</v>
      </c>
      <c r="F38" s="8" t="str">
        <f>IF(data!E37="","",data!E37)</f>
        <v/>
      </c>
      <c r="G38" s="8">
        <f>IF(data!F37="","",data!F37)</f>
        <v>5.7</v>
      </c>
      <c r="H38" s="8">
        <f>IF(data!G37="","",data!G37)</f>
        <v>7.0000000000000007E-2</v>
      </c>
      <c r="I38" s="23">
        <f>IF(data!H37/100="","",data!H37/100)</f>
        <v>-0.93069999999999997</v>
      </c>
      <c r="J38" s="6" t="str">
        <f>IF(data!I37/100=0,"",data!I37/100)</f>
        <v/>
      </c>
      <c r="K38" s="6">
        <f>IF(data!J37/100="","",data!J37/100)</f>
        <v>0</v>
      </c>
      <c r="L38" s="6">
        <f>IF(data!K37/100="","",data!K37/100)</f>
        <v>2.3486000000000002</v>
      </c>
      <c r="N38" s="16">
        <f>(AF38-data!M37)/AF38</f>
        <v>0.34283452098178935</v>
      </c>
      <c r="T38" s="24">
        <f t="shared" si="3"/>
        <v>20.034622260752684</v>
      </c>
      <c r="U38" s="2">
        <f>IF(Tablo1[[#This Row],[Özkaynak Karlılığı]]&lt;0,0,(Tablo1[[#This Row],[Özkaynak Karlılığı]]/MAX(Tablo1[Özkaynak Karlılığı]))*10)</f>
        <v>3.9614109134760334</v>
      </c>
      <c r="V38" s="2">
        <f>(MIN(Tablo1[PD/DD])/Tablo1[[#This Row],[PD/DD]])*10</f>
        <v>1.5498938428874733</v>
      </c>
      <c r="W38" s="2">
        <f>IFERROR((MIN(Tablo1[F/K])/Tablo1[[#This Row],[F/K]])*10,"")</f>
        <v>4.3904593639575964</v>
      </c>
      <c r="X38" s="10" t="str">
        <f>IFERROR((MIN(Tablo1[FD/FAVÖK])/Tablo1[[#This Row],[FD/FAVÖK]])*10,"")</f>
        <v/>
      </c>
      <c r="Y38" s="10">
        <f>IFERROR((MIN(Tablo1[FD/Satış])/Tablo1[[#This Row],[FD/Satış]])*10,"")</f>
        <v>0.43859649122807015</v>
      </c>
      <c r="Z38" s="10">
        <f>IFERROR((MIN(Tablo1[PEG])/Tablo1[[#This Row],[PEG]])*10,"")</f>
        <v>1.4285714285714284</v>
      </c>
      <c r="AA38" s="10">
        <f>(Tablo1[[#This Row],[ROIC]]/MAX(Tablo1[ROIC]))*10</f>
        <v>-1.7343097793679192</v>
      </c>
      <c r="AB38" s="10" t="str">
        <f>IFERROR(IF(Tablo1[[#This Row],[Yıllık Net Kar Değişimi]]&lt;0,0,(Tablo1[[#This Row],[Yıllık Net Kar Değişimi]]/MAX(Tablo1[Yıllık Net Kar Değişimi]))*10),"")</f>
        <v/>
      </c>
      <c r="AC38" s="10">
        <f>IFERROR(IF(Tablo1[[#This Row],[Yıllık FAVÖK Değişimi]]&lt;0,0,(Tablo1[[#This Row],[Yıllık FAVÖK Değişimi]]/MAX(Tablo1[Yıllık FAVÖK Değişimi]))*10),"")</f>
        <v>0</v>
      </c>
      <c r="AD38" s="10">
        <f>IFERROR(IF(Tablo1[[#This Row],[Yıllık Satışlar Değişimi]]&lt;0,0,(Tablo1[[#This Row],[Yıllık Satışlar Değişimi]]/MAX(Tablo1[Yıllık Satışlar Değişimi]))*10),"")</f>
        <v>10</v>
      </c>
      <c r="AF38" s="5">
        <f>SUMIFS([1]!Tablo1[Hisse Fiyatı],[1]!Tablo1[Hisse],Tablo1[[#This Row],[Şirket]],[1]!Tablo1[Dönem],$R$2)</f>
        <v>25.26</v>
      </c>
    </row>
    <row r="39" spans="2:32" ht="21.95" customHeight="1" thickTop="1" thickBot="1" x14ac:dyDescent="0.3">
      <c r="B39" s="15" t="str">
        <f>+data!A38</f>
        <v>YYLGD</v>
      </c>
      <c r="C39" s="22">
        <f>+data!B38/100</f>
        <v>0.50759999999999994</v>
      </c>
      <c r="D39" s="8">
        <f>IF(data!C38&lt;0,"",data!C38)</f>
        <v>3.81</v>
      </c>
      <c r="E39" s="8">
        <f>IF(data!D38="","",data!D38)</f>
        <v>9.39</v>
      </c>
      <c r="F39" s="8">
        <f>IF(data!E38="","",data!E38)</f>
        <v>14.21</v>
      </c>
      <c r="G39" s="8">
        <f>IF(data!F38="","",data!F38)</f>
        <v>1.39</v>
      </c>
      <c r="H39" s="8">
        <f>IF(data!G38="","",data!G38)</f>
        <v>0.24</v>
      </c>
      <c r="I39" s="23">
        <f>IF(data!H38/100="","",data!H38/100)</f>
        <v>0.42479999999999996</v>
      </c>
      <c r="J39" s="6">
        <f>IF(data!I38/100=0,"",data!I38/100)</f>
        <v>0.60860000000000003</v>
      </c>
      <c r="K39" s="6">
        <f>IF(data!J38/100="","",data!J38/100)</f>
        <v>-4.3099999999999999E-2</v>
      </c>
      <c r="L39" s="6">
        <f>IF(data!K38/100="","",data!K38/100)</f>
        <v>0.1472</v>
      </c>
      <c r="N39" s="16">
        <f>(AF39-data!M38)/AF39</f>
        <v>0.34363730036063883</v>
      </c>
      <c r="T39" s="24">
        <f t="shared" si="3"/>
        <v>18.131497545862388</v>
      </c>
      <c r="U39" s="2">
        <f>IF(Tablo1[[#This Row],[Özkaynak Karlılığı]]&lt;0,0,(Tablo1[[#This Row],[Özkaynak Karlılığı]]/MAX(Tablo1[Özkaynak Karlılığı]))*10)</f>
        <v>3.8257461561652089</v>
      </c>
      <c r="V39" s="2">
        <f>(MIN(Tablo1[PD/DD])/Tablo1[[#This Row],[PD/DD]])*10</f>
        <v>1.9160104986876638</v>
      </c>
      <c r="W39" s="2">
        <f>IFERROR((MIN(Tablo1[F/K])/Tablo1[[#This Row],[F/K]])*10,"")</f>
        <v>5.2928647497337593</v>
      </c>
      <c r="X39" s="10">
        <f>IFERROR((MIN(Tablo1[FD/FAVÖK])/Tablo1[[#This Row],[FD/FAVÖK]])*10,"")</f>
        <v>2.2730471498944405</v>
      </c>
      <c r="Y39" s="10">
        <f>IFERROR((MIN(Tablo1[FD/Satış])/Tablo1[[#This Row],[FD/Satış]])*10,"")</f>
        <v>1.7985611510791368</v>
      </c>
      <c r="Z39" s="10">
        <f>IFERROR((MIN(Tablo1[PEG])/Tablo1[[#This Row],[PEG]])*10,"")</f>
        <v>0.41666666666666674</v>
      </c>
      <c r="AA39" s="10">
        <f>(Tablo1[[#This Row],[ROIC]]/MAX(Tablo1[ROIC]))*10</f>
        <v>0.79159212880143104</v>
      </c>
      <c r="AB39" s="10">
        <f>IFERROR(IF(Tablo1[[#This Row],[Yıllık Net Kar Değişimi]]&lt;0,0,(Tablo1[[#This Row],[Yıllık Net Kar Değişimi]]/MAX(Tablo1[Yıllık Net Kar Değişimi]))*10),"")</f>
        <v>1.1902526793397481</v>
      </c>
      <c r="AC39" s="10">
        <f>IFERROR(IF(Tablo1[[#This Row],[Yıllık FAVÖK Değişimi]]&lt;0,0,(Tablo1[[#This Row],[Yıllık FAVÖK Değişimi]]/MAX(Tablo1[Yıllık FAVÖK Değişimi]))*10),"")</f>
        <v>0</v>
      </c>
      <c r="AD39" s="10">
        <f>IFERROR(IF(Tablo1[[#This Row],[Yıllık Satışlar Değişimi]]&lt;0,0,(Tablo1[[#This Row],[Yıllık Satışlar Değişimi]]/MAX(Tablo1[Yıllık Satışlar Değişimi]))*10),"")</f>
        <v>0.626756365494337</v>
      </c>
      <c r="AF39" s="5">
        <f>SUMIFS([1]!Tablo1[Hisse Fiyatı],[1]!Tablo1[Hisse],Tablo1[[#This Row],[Şirket]],[1]!Tablo1[Dönem],$R$2)</f>
        <v>19.41</v>
      </c>
    </row>
    <row r="40" spans="2:32" ht="21.95" customHeight="1" thickTop="1" thickBot="1" x14ac:dyDescent="0.3">
      <c r="B40" s="15"/>
      <c r="C40" s="22"/>
      <c r="D40" s="8"/>
      <c r="E40" s="8"/>
      <c r="F40" s="8"/>
      <c r="G40" s="8"/>
      <c r="H40" s="8"/>
      <c r="I40" s="23"/>
      <c r="J40" s="6"/>
      <c r="K40" s="6"/>
      <c r="L40" s="6"/>
    </row>
    <row r="41" spans="2:32" ht="21.95" customHeight="1" thickTop="1" x14ac:dyDescent="0.25"/>
    <row r="42" spans="2:32" ht="21.95" customHeight="1" x14ac:dyDescent="0.25"/>
    <row r="43" spans="2:32" ht="21.95" customHeight="1" x14ac:dyDescent="0.25"/>
    <row r="44" spans="2:32" ht="21.95" customHeight="1" x14ac:dyDescent="0.25"/>
    <row r="45" spans="2:32" ht="21.95" customHeight="1" x14ac:dyDescent="0.25"/>
    <row r="46" spans="2:32" ht="21.95" customHeight="1" x14ac:dyDescent="0.25"/>
    <row r="47" spans="2:32" ht="21.95" customHeight="1" x14ac:dyDescent="0.25"/>
    <row r="48" spans="2:32" ht="21.95" customHeight="1" x14ac:dyDescent="0.25"/>
    <row r="49" ht="21.95" customHeight="1" x14ac:dyDescent="0.25"/>
    <row r="50" ht="21.95" customHeight="1" x14ac:dyDescent="0.25"/>
    <row r="51" ht="21.95" customHeight="1" x14ac:dyDescent="0.25"/>
    <row r="52" ht="21.95" customHeight="1" x14ac:dyDescent="0.25"/>
    <row r="53" ht="21.95" customHeight="1" x14ac:dyDescent="0.25"/>
    <row r="54" ht="21.95" customHeight="1" x14ac:dyDescent="0.25"/>
    <row r="55" ht="21.95" customHeight="1" x14ac:dyDescent="0.25"/>
    <row r="56" ht="21.95" customHeight="1" x14ac:dyDescent="0.25"/>
    <row r="57" ht="21.95" customHeight="1" x14ac:dyDescent="0.25"/>
    <row r="58" ht="21.95" customHeight="1" x14ac:dyDescent="0.25"/>
    <row r="59" ht="21.95" customHeight="1" x14ac:dyDescent="0.25"/>
    <row r="60" ht="21.95" customHeight="1" x14ac:dyDescent="0.25"/>
    <row r="61" ht="21.95" customHeight="1" x14ac:dyDescent="0.25"/>
    <row r="62" ht="21.95" customHeight="1" x14ac:dyDescent="0.25"/>
    <row r="63" ht="21.95" customHeight="1" x14ac:dyDescent="0.25"/>
    <row r="64" ht="21.95" customHeight="1" x14ac:dyDescent="0.25"/>
    <row r="65" ht="21.95" customHeight="1" x14ac:dyDescent="0.25"/>
    <row r="66" ht="21.95" customHeight="1" x14ac:dyDescent="0.25"/>
    <row r="67" ht="21.95" customHeight="1" x14ac:dyDescent="0.25"/>
    <row r="68" ht="21.95" customHeight="1" x14ac:dyDescent="0.25"/>
    <row r="69" ht="21.95" customHeight="1" x14ac:dyDescent="0.25"/>
    <row r="70" ht="21.95" customHeight="1" x14ac:dyDescent="0.25"/>
    <row r="71" ht="21.95" customHeight="1" x14ac:dyDescent="0.25"/>
    <row r="72" ht="21.95" customHeight="1" x14ac:dyDescent="0.25"/>
    <row r="73" ht="21.95" customHeight="1" x14ac:dyDescent="0.25"/>
    <row r="74" ht="21.95" customHeight="1" x14ac:dyDescent="0.25"/>
    <row r="75" ht="21.95" customHeight="1" x14ac:dyDescent="0.25"/>
    <row r="76" ht="21.95" customHeight="1" x14ac:dyDescent="0.25"/>
    <row r="77" ht="21.95" customHeight="1" x14ac:dyDescent="0.25"/>
    <row r="78" ht="21.95" customHeight="1" x14ac:dyDescent="0.25"/>
    <row r="79" ht="21.95" customHeight="1" x14ac:dyDescent="0.25"/>
    <row r="80" ht="21.95" customHeight="1" x14ac:dyDescent="0.25"/>
    <row r="81" ht="21.95" customHeight="1" x14ac:dyDescent="0.25"/>
    <row r="82" ht="21.95" customHeight="1" x14ac:dyDescent="0.25"/>
    <row r="83" ht="21.95" customHeight="1" x14ac:dyDescent="0.25"/>
    <row r="84" ht="21.95" customHeight="1" x14ac:dyDescent="0.25"/>
    <row r="85" ht="21.95" customHeight="1" x14ac:dyDescent="0.25"/>
    <row r="86" ht="21.95" customHeight="1" x14ac:dyDescent="0.25"/>
    <row r="87" ht="21.95" customHeight="1" x14ac:dyDescent="0.25"/>
    <row r="88" ht="21.95" customHeight="1" x14ac:dyDescent="0.25"/>
    <row r="89" ht="21.95" customHeight="1" x14ac:dyDescent="0.25"/>
    <row r="90" ht="21.95" customHeight="1" x14ac:dyDescent="0.25"/>
    <row r="91" ht="21.95" customHeight="1" x14ac:dyDescent="0.25"/>
    <row r="92" ht="21.95" customHeight="1" x14ac:dyDescent="0.25"/>
    <row r="93" ht="21.95" customHeight="1" x14ac:dyDescent="0.25"/>
    <row r="94" ht="21.95" customHeight="1" x14ac:dyDescent="0.25"/>
    <row r="95" ht="21.95" customHeight="1" x14ac:dyDescent="0.25"/>
    <row r="96" ht="21.95" customHeight="1" x14ac:dyDescent="0.25"/>
    <row r="97" ht="21.95" customHeight="1" x14ac:dyDescent="0.25"/>
    <row r="98" ht="21.95" customHeight="1" x14ac:dyDescent="0.25"/>
    <row r="99" ht="21.95" customHeight="1" x14ac:dyDescent="0.25"/>
    <row r="100" ht="21.95" customHeight="1" x14ac:dyDescent="0.25"/>
    <row r="101" ht="21.95" customHeight="1" x14ac:dyDescent="0.25"/>
    <row r="102" ht="21.95" customHeight="1" x14ac:dyDescent="0.25"/>
    <row r="103" ht="21.95" customHeight="1" x14ac:dyDescent="0.25"/>
    <row r="104" ht="21.95" customHeight="1" x14ac:dyDescent="0.25"/>
    <row r="105" ht="21.95" customHeight="1" x14ac:dyDescent="0.25"/>
    <row r="106" ht="21.95" customHeight="1" x14ac:dyDescent="0.25"/>
    <row r="107" ht="21.95" customHeight="1" x14ac:dyDescent="0.25"/>
    <row r="108" ht="21.95" customHeight="1" x14ac:dyDescent="0.25"/>
    <row r="109" ht="21.95" customHeight="1" x14ac:dyDescent="0.25"/>
    <row r="110" ht="21.95" customHeight="1" x14ac:dyDescent="0.25"/>
    <row r="111" ht="21.95" customHeight="1" x14ac:dyDescent="0.25"/>
    <row r="112" ht="21.95" customHeight="1" x14ac:dyDescent="0.25"/>
    <row r="113" ht="21.95" customHeight="1" x14ac:dyDescent="0.25"/>
    <row r="114" ht="21.95" customHeight="1" x14ac:dyDescent="0.25"/>
    <row r="115" ht="21.95" customHeight="1" x14ac:dyDescent="0.25"/>
    <row r="116" ht="21.95" customHeight="1" x14ac:dyDescent="0.25"/>
    <row r="117" ht="21.95" customHeight="1" x14ac:dyDescent="0.25"/>
    <row r="118" ht="21.95" customHeight="1" x14ac:dyDescent="0.25"/>
    <row r="119" ht="21.95" customHeight="1" x14ac:dyDescent="0.25"/>
    <row r="120" ht="21.95" customHeight="1" x14ac:dyDescent="0.25"/>
    <row r="121" ht="21.95" customHeight="1" x14ac:dyDescent="0.25"/>
    <row r="122" ht="21.95" customHeight="1" x14ac:dyDescent="0.25"/>
    <row r="123" ht="21.95" customHeight="1" x14ac:dyDescent="0.25"/>
    <row r="124" ht="21.95" customHeight="1" x14ac:dyDescent="0.25"/>
    <row r="125" ht="21.95" customHeight="1" x14ac:dyDescent="0.25"/>
    <row r="126" ht="21.95" customHeight="1" x14ac:dyDescent="0.25"/>
    <row r="127" ht="21.95" customHeight="1" x14ac:dyDescent="0.25"/>
    <row r="128" ht="21.95" customHeight="1" x14ac:dyDescent="0.25"/>
    <row r="129" ht="21.95" customHeight="1" x14ac:dyDescent="0.25"/>
    <row r="130" ht="21.95" customHeight="1" x14ac:dyDescent="0.25"/>
    <row r="131" ht="21.95" customHeight="1" x14ac:dyDescent="0.25"/>
    <row r="132" ht="21.95" customHeight="1" x14ac:dyDescent="0.25"/>
    <row r="133" ht="21.95" customHeight="1" x14ac:dyDescent="0.25"/>
    <row r="134" ht="21.95" customHeight="1" x14ac:dyDescent="0.25"/>
    <row r="135" ht="21.95" customHeight="1" x14ac:dyDescent="0.25"/>
    <row r="136" ht="21.95" customHeight="1" x14ac:dyDescent="0.25"/>
    <row r="137" ht="21.95" customHeight="1" x14ac:dyDescent="0.25"/>
    <row r="138" ht="21.95" customHeight="1" x14ac:dyDescent="0.25"/>
  </sheetData>
  <conditionalFormatting sqref="N3:N30">
    <cfRule type="iconSet" priority="1">
      <iconSet>
        <cfvo type="percent" val="0"/>
        <cfvo type="num" val="0"/>
        <cfvo type="num" val="0.1"/>
      </iconSet>
    </cfRule>
  </conditionalFormatting>
  <conditionalFormatting sqref="T3:T40">
    <cfRule type="colorScale" priority="148">
      <colorScale>
        <cfvo type="min"/>
        <cfvo type="num" val="$T$2"/>
        <cfvo type="max"/>
        <color rgb="FFFE6666"/>
        <color theme="0"/>
        <color rgb="FF5DD9A1"/>
      </colorScale>
    </cfRule>
  </conditionalFormatting>
  <conditionalFormatting sqref="C3:C39">
    <cfRule type="colorScale" priority="150">
      <colorScale>
        <cfvo type="min"/>
        <cfvo type="num" val="0"/>
        <cfvo type="num" val="$R$11"/>
        <color rgb="FFFE6666"/>
        <color theme="0"/>
        <color rgb="FF5DD9A1"/>
      </colorScale>
    </cfRule>
  </conditionalFormatting>
  <conditionalFormatting sqref="D3:D39">
    <cfRule type="colorScale" priority="151">
      <colorScale>
        <cfvo type="min"/>
        <cfvo type="num" val="$R$10"/>
        <cfvo type="max"/>
        <color rgb="FF5DD9A1"/>
        <color theme="0"/>
        <color rgb="FFFE6666"/>
      </colorScale>
    </cfRule>
  </conditionalFormatting>
  <conditionalFormatting sqref="E3:E39">
    <cfRule type="colorScale" priority="152">
      <colorScale>
        <cfvo type="min"/>
        <cfvo type="num" val="$R$9"/>
        <cfvo type="max"/>
        <color rgb="FF5DD9A1"/>
        <color theme="0"/>
        <color rgb="FFFE6666"/>
      </colorScale>
    </cfRule>
  </conditionalFormatting>
  <conditionalFormatting sqref="F3:F39">
    <cfRule type="colorScale" priority="153">
      <colorScale>
        <cfvo type="min"/>
        <cfvo type="num" val="$R$8"/>
        <cfvo type="max"/>
        <color rgb="FF5DD9A1"/>
        <color theme="0"/>
        <color rgb="FFFE6666"/>
      </colorScale>
    </cfRule>
  </conditionalFormatting>
  <conditionalFormatting sqref="G3:G39">
    <cfRule type="colorScale" priority="154">
      <colorScale>
        <cfvo type="min"/>
        <cfvo type="num" val="$R$7"/>
        <cfvo type="max"/>
        <color rgb="FF5DD9A1"/>
        <color theme="0"/>
        <color rgb="FFFE6666"/>
      </colorScale>
    </cfRule>
  </conditionalFormatting>
  <conditionalFormatting sqref="H3:H39">
    <cfRule type="colorScale" priority="155">
      <colorScale>
        <cfvo type="min"/>
        <cfvo type="num" val="1"/>
        <cfvo type="max"/>
        <color rgb="FF5DD9A1"/>
        <color theme="0"/>
        <color rgb="FFFE6666"/>
      </colorScale>
    </cfRule>
  </conditionalFormatting>
  <conditionalFormatting sqref="I3:I39">
    <cfRule type="colorScale" priority="156">
      <colorScale>
        <cfvo type="min"/>
        <cfvo type="num" val="0"/>
        <cfvo type="num" val="$R$6"/>
        <color rgb="FFFE6666"/>
        <color theme="0"/>
        <color rgb="FF5DD9A1"/>
      </colorScale>
    </cfRule>
  </conditionalFormatting>
  <conditionalFormatting sqref="J3:J39">
    <cfRule type="colorScale" priority="157">
      <colorScale>
        <cfvo type="min"/>
        <cfvo type="num" val="0"/>
        <cfvo type="num" val="$R$5"/>
        <color rgb="FFFE6666"/>
        <color theme="0"/>
        <color rgb="FF5DD9A1"/>
      </colorScale>
    </cfRule>
  </conditionalFormatting>
  <conditionalFormatting sqref="K3:K39">
    <cfRule type="colorScale" priority="158">
      <colorScale>
        <cfvo type="min"/>
        <cfvo type="num" val="0"/>
        <cfvo type="num" val="$R$4"/>
        <color rgb="FFFE6666"/>
        <color theme="0"/>
        <color rgb="FF5DD9A1"/>
      </colorScale>
    </cfRule>
  </conditionalFormatting>
  <conditionalFormatting sqref="L3:L39">
    <cfRule type="colorScale" priority="159">
      <colorScale>
        <cfvo type="min"/>
        <cfvo type="num" val="0"/>
        <cfvo type="num" val="$R$3"/>
        <color rgb="FFFE6666"/>
        <color theme="0"/>
        <color rgb="FF5DD9A1"/>
      </colorScale>
    </cfRule>
  </conditionalFormatting>
  <printOptions horizontalCentered="1"/>
  <pageMargins left="0.11811023622047245" right="0.11811023622047245" top="0.15748031496062992" bottom="0.15748031496062992" header="0.31496062992125984" footer="0.31496062992125984"/>
  <pageSetup paperSize="9" scale="48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data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TeknikOfis</dc:creator>
  <cp:lastModifiedBy>KF68796</cp:lastModifiedBy>
  <cp:lastPrinted>2024-01-06T07:50:35Z</cp:lastPrinted>
  <dcterms:created xsi:type="dcterms:W3CDTF">2024-01-02T13:44:01Z</dcterms:created>
  <dcterms:modified xsi:type="dcterms:W3CDTF">2024-01-06T15:43:38Z</dcterms:modified>
</cp:coreProperties>
</file>